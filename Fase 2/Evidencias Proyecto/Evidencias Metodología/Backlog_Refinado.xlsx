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huenu\Desktop\CondorShop_FINAL\"/>
    </mc:Choice>
  </mc:AlternateContent>
  <xr:revisionPtr revIDLastSave="0" documentId="13_ncr:1_{A2846F3D-1498-4EBE-B393-8B037AFEA402}" xr6:coauthVersionLast="47" xr6:coauthVersionMax="47" xr10:uidLastSave="{00000000-0000-0000-0000-000000000000}"/>
  <bookViews>
    <workbookView xWindow="-120" yWindow="-120" windowWidth="29040" windowHeight="15720" xr2:uid="{F451AF4D-6A30-4D16-B341-E4283361C613}"/>
  </bookViews>
  <sheets>
    <sheet name="Backlog Refinado"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8" i="1" l="1"/>
</calcChain>
</file>

<file path=xl/sharedStrings.xml><?xml version="1.0" encoding="utf-8"?>
<sst xmlns="http://schemas.openxmlformats.org/spreadsheetml/2006/main" count="289" uniqueCount="204">
  <si>
    <t>ID</t>
  </si>
  <si>
    <t>Historia de usuario</t>
  </si>
  <si>
    <t>Descripción resumida</t>
  </si>
  <si>
    <t>Estimación</t>
  </si>
  <si>
    <t>Prioridad</t>
  </si>
  <si>
    <t>Criterios de aceptación</t>
  </si>
  <si>
    <t>Roles</t>
  </si>
  <si>
    <t>Nombre</t>
  </si>
  <si>
    <t>E1-HU1</t>
  </si>
  <si>
    <t>Catálogo</t>
  </si>
  <si>
    <t>Ver listado paginado con nombre, precio, imagen y disponibilidad.</t>
  </si>
  <si>
    <t>5 SP</t>
  </si>
  <si>
    <t>Alta</t>
  </si>
  <si>
    <t>E1-HU2</t>
  </si>
  <si>
    <t>Búsqueda</t>
  </si>
  <si>
    <t>E1-HU3</t>
  </si>
  <si>
    <t>Filtros</t>
  </si>
  <si>
    <t>Filtrar por categoría y rango de precio (combinados).</t>
  </si>
  <si>
    <t>E1-HU4</t>
  </si>
  <si>
    <t>Ordenar</t>
  </si>
  <si>
    <t>Orden por precio o popularidad.</t>
  </si>
  <si>
    <t>3 SP</t>
  </si>
  <si>
    <t>Media</t>
  </si>
  <si>
    <t>E1-HU5</t>
  </si>
  <si>
    <t>SEO base</t>
  </si>
  <si>
    <t>Catálogo y Búsqueda</t>
  </si>
  <si>
    <t>Ficha de Producto</t>
  </si>
  <si>
    <t>E2-HU1</t>
  </si>
  <si>
    <t>E2-HU2</t>
  </si>
  <si>
    <t>E2-HU3</t>
  </si>
  <si>
    <t>E2-HU4</t>
  </si>
  <si>
    <t>E2-HU5</t>
  </si>
  <si>
    <t>Ficha de producto</t>
  </si>
  <si>
    <t>Validar cantidad</t>
  </si>
  <si>
    <t>Elegir cantidad sin pasar del stock.</t>
  </si>
  <si>
    <t>Agregar al carrito</t>
  </si>
  <si>
    <t>Carrito y Envíos</t>
  </si>
  <si>
    <t>E3-HU1</t>
  </si>
  <si>
    <t>E3-HU2</t>
  </si>
  <si>
    <t>E3-HU3</t>
  </si>
  <si>
    <t>E3-HU4</t>
  </si>
  <si>
    <t>E3-HU5</t>
  </si>
  <si>
    <t>Envío gratis</t>
  </si>
  <si>
    <t>Seguir comprando</t>
  </si>
  <si>
    <t>Autenticación de Usuario (clientes)</t>
  </si>
  <si>
    <t>E8-HU1</t>
  </si>
  <si>
    <t>E8-HU2</t>
  </si>
  <si>
    <t>E8-HU3</t>
  </si>
  <si>
    <t>E8-HU4</t>
  </si>
  <si>
    <t>E8-HU5</t>
  </si>
  <si>
    <t>Registro</t>
  </si>
  <si>
    <t>Editar nombre, teléfono y dirección principal.</t>
  </si>
  <si>
    <t>Checkout y Pagos Webpay + Stock</t>
  </si>
  <si>
    <t>E4-HU1</t>
  </si>
  <si>
    <t>E4-HU2</t>
  </si>
  <si>
    <t>E4-HU3</t>
  </si>
  <si>
    <t>E4-HU4</t>
  </si>
  <si>
    <t>E4-HU5</t>
  </si>
  <si>
    <t>E4-HU6</t>
  </si>
  <si>
    <t>E4-HU7</t>
  </si>
  <si>
    <t>Stock transaccional</t>
  </si>
  <si>
    <t>Administración</t>
  </si>
  <si>
    <t>E5-HU1</t>
  </si>
  <si>
    <t>E5-HU2</t>
  </si>
  <si>
    <t>E5-HU3</t>
  </si>
  <si>
    <t>E5-HU4</t>
  </si>
  <si>
    <t>E5-HU5</t>
  </si>
  <si>
    <t>E5-HU6</t>
  </si>
  <si>
    <t>E5-HU7</t>
  </si>
  <si>
    <t>Login admin</t>
  </si>
  <si>
    <t>CRUD productos</t>
  </si>
  <si>
    <t>Crear, editar y eliminar productos.</t>
  </si>
  <si>
    <t>Estado logístico</t>
  </si>
  <si>
    <t>Bitácora</t>
  </si>
  <si>
    <t>Registrar quién hizo qué y cuándo.</t>
  </si>
  <si>
    <t>Seguridad, Observabilidad y Backups</t>
  </si>
  <si>
    <t>E6-HU1</t>
  </si>
  <si>
    <t>E6-HU2</t>
  </si>
  <si>
    <t>E6-HU3</t>
  </si>
  <si>
    <t>E7-HU1</t>
  </si>
  <si>
    <t>E7-HU2</t>
  </si>
  <si>
    <t>E7-HU3</t>
  </si>
  <si>
    <t>E7-HU4</t>
  </si>
  <si>
    <t>E7-HU5</t>
  </si>
  <si>
    <t>Benjamín Huenupe</t>
  </si>
  <si>
    <t xml:space="preserve"> Juan Rodríguez</t>
  </si>
  <si>
    <t>1) 20 productos por página. 2) Botones Anterior/Siguiente. 3) Texto “Página X de Y”. 4) Si no hay productos, muestra mensaje amable.</t>
  </si>
  <si>
    <t>Buscar por nombre o palabra clave (“polera”, “taza”).</t>
  </si>
  <si>
    <t>1) Campo de búsqueda visible en catálogo. 2) Resultados se filtran en ≤1 s. 3) Resultados relevantes al término. 4) Si no hay resultados, mensaje empático “No encontramos ese producto”.</t>
  </si>
  <si>
    <t>1) Permite combinar categoría + rango de precio. 2) Al quitar filtro vuelve el listado completo. 3) Los filtros se mantienen al paginar. 4) No se pierde selección al recargar la página.</t>
  </si>
  <si>
    <t>1) Selector “Ordenar por” visible. 2) Opciones: sin orden, precio asc/desc, nombre A-Z/Z-A. 3) El orden se mantiene al cambiar de página. 4) Orden por defecto: más recientes primero.</t>
  </si>
  <si>
    <t>URLs limpias y robots.txt que permite indexación.</t>
  </si>
  <si>
    <t>E1-HU6</t>
  </si>
  <si>
    <t>Jerarquía categorías</t>
  </si>
  <si>
    <t>Organizar productos en categorías y subcategorías (hasta 3 niveles).</t>
  </si>
  <si>
    <t>1) Modelo Category con parent_category. 2) Permite 3 niveles de profundidad. 3) Filtros incluyen automáticamente las subcategorías. 4) URLs limpias por categoría (/category/{slug}).</t>
  </si>
  <si>
    <t>Ver nombre, precio, stock, descripción e imagen principal.</t>
  </si>
  <si>
    <t>1) Todos los campos visibles. 2) Si stock 0, muestra “Sin stock” y desactiva botón. 3) Si stock bajo, indicador visible. 4) URL /producto/:slug funcional.</t>
  </si>
  <si>
    <t>Galería imágenes</t>
  </si>
  <si>
    <t>Ver múltiples imágenes y navegar entre ellas.</t>
  </si>
  <si>
    <t>1) Miniaturas o controles para cambiar imagen. 2) Imagen principal cambia al instante. 3) Si hay solo una imagen, se muestra correctamente. 4) Zoom avanzado no implementado (se documenta como post-MVP).</t>
  </si>
  <si>
    <t>1) Selector de cantidad respeta stock máximo. 2) Validación en frontend (max). 3) Validación en backend (no guarda sobre stock). 4) Mensaje claro cuando intenta superar stock.</t>
  </si>
  <si>
    <t>Agregar al carrito y ver confirmación visible.</t>
  </si>
  <si>
    <t>1) Botón “Agregar al carrito” visible. 2) Al hacer clic aparece toast de confirmación. 3) Contador del carrito en header se actualiza. 4) Ofrece ir al carrito o seguir comprando.</t>
  </si>
  <si>
    <t>Historial de precios</t>
  </si>
  <si>
    <t>Registrar y consultar cambios de precio.</t>
  </si>
  <si>
    <t>1) Al cambiar precio se crea registro en ProductPriceHistory. 2) Registro guarda precio anterior, nuevo, usuario y fecha. 3) Visible como inline en Django Admin. 4) Endpoint /api/products/{slug}/price-history/ devuelve histórico.</t>
  </si>
  <si>
    <t>Resumen carrito</t>
  </si>
  <si>
    <t>Ver productos, cantidad, subtotal y total.</t>
  </si>
  <si>
    <t>1) Lista de ítems con nombre, precio y subtotal. 2) Muestra subtotal y total. 3) Si está vacío, mensaje y botón para seguir comprando. 4) Costo de envío solo se ve en checkout (documentado).</t>
  </si>
  <si>
    <t>Editar ítems</t>
  </si>
  <si>
    <t>Cambiar cantidades o eliminar productos.</t>
  </si>
  <si>
    <t>1) Botones +/– y eliminar por ítem. 2) Totales se actualizan al instante (optimistic UI). 3) Si elimina último ítem, carrito queda vacío con mensaje. 4) No permite cantidad &lt;1.</t>
  </si>
  <si>
    <t>Aplicar beneficio de envío gratis sobre $50.000.</t>
  </si>
  <si>
    <t>1) Lógica de umbral se aplica en backend. 2) En checkout, cuando subtotal ≥ $50.000, envío = $0. 3) Si baja del umbral, vuelve a valor normal. 4) Mensaje claro al usuario cuando aplica o se pierde el beneficio.</t>
  </si>
  <si>
    <t>Persistencia</t>
  </si>
  <si>
    <t>Mantener carrito aunque cierre navegador.</t>
  </si>
  <si>
    <t>1) Invitado: carrito asociado a session_token/localStorage. 2) Usuario logueado: carrito asociado a su cuenta. 3) Al volver, recupera los productos y cantidades. 4) Si algún producto cambió (precio/stock), se muestra ajuste con mensaje.</t>
  </si>
  <si>
    <t>Continuar comprando sin perder el carrito.</t>
  </si>
  <si>
    <t>1) Botón “Seguir comprando” en flujo (carrito o StepReview). 2) Redirige al catálogo manteniendo carrito intacto. 3) No recarga innecesariamente datos. 4) Desde catálogo se puede volver al carrito sin perder cambios.</t>
  </si>
  <si>
    <t>Flujo checkout</t>
  </si>
  <si>
    <t>Determinar flujo según autenticación (logueado/invitado).</t>
  </si>
  <si>
    <t>Datos de envío</t>
  </si>
  <si>
    <t>Completar formulario de contacto y entrega.</t>
  </si>
  <si>
    <t>1) Formulario con campos obligatorios definidos. 2) Validación con mensajes claros en campo. 3) Invitado: se crea orden ligada al email. 4) Usuario logueado: se reutilizan datos de perfil.</t>
  </si>
  <si>
    <t>Ir a Webpay</t>
  </si>
  <si>
    <t>Redirigir a Webpay para pago seguro.</t>
  </si>
  <si>
    <t>1) Al hacer clic en “Pagar” se muestra modal “Redirigiendo a Webpay…”. 2) Se abre Webpay con monto y comercio correctos. 3) Si API falla, mensaje de error y opción de reintentar. 4) Si el usuario cierra Webpay, la orden queda PENDING.</t>
  </si>
  <si>
    <t>Confirmar pago</t>
  </si>
  <si>
    <t>Volver desde Webpay y ver compra confirmada.</t>
  </si>
  <si>
    <t>1) Backend procesa respuesta de Webpay. 2) Si es éxito, orden pasa a estado PAID. 3) Vista de “Compra realizada” muestra número de orden y resumen. 4) Si falla, muestra mensaje y estado FAILED/CANCELLED.</t>
  </si>
  <si>
    <t>Descuento de stock</t>
  </si>
  <si>
    <t>Descontar stock solo al confirmar pago.</t>
  </si>
  <si>
    <t>1) reserve_stock() reserva unidades al crear orden. 2) confirm_sale() descuenta stock definitivo al pago OK. 3) release_stock() libera stock si pago falla o se cancela. 4) Todos los movimientos quedan en InventoryMovement.</t>
  </si>
  <si>
    <t>Reintento de pago</t>
  </si>
  <si>
    <t>Permitir reintento si Webpay falla o se abandona.</t>
  </si>
  <si>
    <t>1) Orden en estado FAILED/CANCELLED mantiene referencia. 2) Pantalla muestra mensaje claro de fallo. 3) Botón para intentar pagar de nuevo mientras la orden esté vigente. 4) Stock reservado se libera correctamente al fallar.</t>
  </si>
  <si>
    <t>Correo de confirmación</t>
  </si>
  <si>
    <t>Enviar email con número de orden y estado.</t>
  </si>
  <si>
    <t>1) Al pago confirmado se dispara envío vía Gmail SMTP. 2) Mail contiene número de orden, total y estado. 3) Llega al correo del cliente (logueado o invitado). 4) Se registra error si el correo no se puede enviar.</t>
  </si>
  <si>
    <t>E4-HU8</t>
  </si>
  <si>
    <t>Reservar y liberar stock de forma atómica.</t>
  </si>
  <si>
    <t>1) Uso de @transaction.atomic() en flujo de reserva/confirmación. 2) select_for_update() bloquea filas de stock durante la transacción. 3) No se permite overselling en compras concurrentes. 4) InventoryMovement registra SALE, RESERVATION y RELEASE.</t>
  </si>
  <si>
    <t>Iniciar sesión en Django Admin solo con rol admin.</t>
  </si>
  <si>
    <t>1) /admin/login activo. 2) Solo usuarios con rol admin + is_staff=True pueden entrar. 3) Credenciales malas: mensaje estándar sin revelar qué falló. 4) Usuarios cliente reciben error de permisos.</t>
  </si>
  <si>
    <t>1) Formulario con validaciones (price &gt; 0, stock ≥ 0). 2) Al guardar, producto aparece en catálogo. 3) Al borrar pide confirmación. 4) Errores se muestran junto a cada campo.</t>
  </si>
  <si>
    <t>Imágenes producto</t>
  </si>
  <si>
    <t>Subir y cambiar imágenes de productos.</t>
  </si>
  <si>
    <t>Listado pedidos</t>
  </si>
  <si>
    <t>Ver lista de pedidos con estados.</t>
  </si>
  <si>
    <t>1) Vista de pedidos ordenados por fecha. 2) Filtros por estado y fecha. 3) Búsqueda por email/nombre cliente. 4) Detalle muestra datos de Webpay (buy_order, últimos 4 dígitos).</t>
  </si>
  <si>
    <t>Actualizar estado (PREPARING, SHIPPED, etc.).</t>
  </si>
  <si>
    <t>1) AuditMiddleware activo para users, products, orders. 2) Log incluye usuario, acción, tabla, IP, fecha. 3) Vista en admin con filtros por acción y fecha. 4) Permite reconstruir cambios importantes.</t>
  </si>
  <si>
    <t>Permisos API admin</t>
  </si>
  <si>
    <t>Proteger endpoints admin con permisos.</t>
  </si>
  <si>
    <t>1) IsAdminUser o permisos equivalentes definidos. 2) Requests sin rol admin reciben 403. 3) JWT de cliente no permite acciones de admin. 4) Se documenta que no existen /api/admin/* públicos.</t>
  </si>
  <si>
    <t>E5-HU8</t>
  </si>
  <si>
    <t>Snapshot de órdenes</t>
  </si>
  <si>
    <t>Preservar datos históricos de órdenes.</t>
  </si>
  <si>
    <t>1) Al crear orden se generan OrderShippingSnapshot y OrderItemSnapshot. 2) Snapshots guardan precios, nombres y dirección del momento de la compra. 3) Cambios posteriores en productos o direcciones no alteran snapshots. 4) Se ven en detalle de pedido en admin.</t>
  </si>
  <si>
    <t>Protecciones base</t>
  </si>
  <si>
    <t>Activar rate limiting, cabeceras seguras y validación formularios.</t>
  </si>
  <si>
    <t>Logging</t>
  </si>
  <si>
    <t>Registrar eventos clave en logs ordenados.</t>
  </si>
  <si>
    <t>1) Archivo logs/django.log con timestamp, nivel y mensaje. 2) Registros de login, creación de orden, pagos y errores. 3) Posibilidad de filtrar por ruta o usuario. 4) Errores críticos se registran con stacktrace.</t>
  </si>
  <si>
    <t>Gestión de secretos</t>
  </si>
  <si>
    <t>Mantener claves en entorno seguro (.env).</t>
  </si>
  <si>
    <t>1) django-environ lee todas las credenciales desde .env. 2) .env en .gitignore. 3) Si falta una variable, se lanza error claro al levantar el proyecto. 4) No hay secretos en el código público.</t>
  </si>
  <si>
    <t>Pruebas automatizadas</t>
  </si>
  <si>
    <t>Ejecutar pruebas unitarias e integradas.</t>
  </si>
  <si>
    <t>1) Suite de tests backend ejecutable con pytest. 2) Incluye tests para checkout, serializers, price_history, auth, contratos API y utils. 3) Todos los tests pasan en CI/local. 4) Errores encontrados quedan documentados y corregidos.</t>
  </si>
  <si>
    <t>Accesibilidad y UX</t>
  </si>
  <si>
    <t>Checklist básico de accesibilidad y usabilidad.</t>
  </si>
  <si>
    <t>1) Textos legibles en móvil. 2) Botones con tamaño cómodo. 3) Uso de atributos ARIA y tabIndex para navegación por teclado. 4) Checklist formal pendiente (se documenta como trabajo futuro).</t>
  </si>
  <si>
    <t>Procedimiento despliegue</t>
  </si>
  <si>
    <t>Documentar paso a paso el despliegue.</t>
  </si>
  <si>
    <t>1) README backend y frontend explican instalación, .env y comandos. 2) Checklist pre-despliegue (tests OK, migraciones, env). 3) Pasos claros de despliegue. 4) Validaciones post-despliegue descritas.</t>
  </si>
  <si>
    <t>Evidencias cierre</t>
  </si>
  <si>
    <t>Preparar evidencias para cierre (capturas, enlaces, métricas).</t>
  </si>
  <si>
    <t>1) Documento de evidencias con capturas de Webpay “pagado”. 2) Enlace a sitemap y rutas principales. 3) Resumen de métricas (visitas/errores) si están disponibles. 4) Documento entendible por alguien externo.</t>
  </si>
  <si>
    <t>Retrospectiva</t>
  </si>
  <si>
    <t>Documento de retrospectiva con lecciones aprendidas.</t>
  </si>
  <si>
    <t>1) Al final de cada sprint se redacta un breve informe. 2) Enumera cosas que salieron bien, mal y a mejorar. 3) Incluye decisiones técnicas importantes. 4) Se usa como insumo para la entrega final.</t>
  </si>
  <si>
    <t>Crear cuenta con correo y clave sencilla.</t>
  </si>
  <si>
    <t>1) Formulario de registro con email + password. 2) Validación de campos con mensajes amigables. 3) Al registrar, login automático. 4) Toast “¡Registro exitoso!”.</t>
  </si>
  <si>
    <t>Login</t>
  </si>
  <si>
    <t>Iniciar sesión con correo y clave.</t>
  </si>
  <si>
    <t>1) Formulario de login visible. 2) Credenciales correctas → entra a la cuenta. 3) Error muestra mensaje claro (no indica qué dato falló). 4) Manejo de errores técnicos (mensaje genérico).</t>
  </si>
  <si>
    <t>Recuperar contraseña</t>
  </si>
  <si>
    <t>Enviar correo para recuperar contraseña.</t>
  </si>
  <si>
    <t>1) Enlace “¿Olvidaste tu contraseña?”. 2) Al enviar correo válido se genera token y link /reset-password?token=XXX. 3) Puede definir nueva clave y loguearse. 4) Token inválido o expirado muestra mensaje claro.</t>
  </si>
  <si>
    <t>Editar perfil</t>
  </si>
  <si>
    <t>1) Sección “Mi cuenta” con formulario editable. 2) Validación en frontend y backend. 3) Al guardar muestra toast de éxito. 4) Datos se reutilizan en checkout.</t>
  </si>
  <si>
    <t>Historial de compras</t>
  </si>
  <si>
    <t>Ver historial de pedidos realizados.</t>
  </si>
  <si>
    <t>1) Vista “Mis pedidos” muestra lista de órdenes. 2) Cada pedido muestra fecha, total y estado. 3) Puede abrir detalle con ítems y precios. 4) (Se documenta que aún no hay descarga de comprobante).</t>
  </si>
  <si>
    <t>1) URLs limpias: /product/{slug} y /category/{slug} 2) robots.txt estático permite indexar catálogo y bloquea zonas privadas 3) sitemap.xml NO implementado (se deja como mejora futura) 4) No hay meta dinámicos ni sitemap avanzado (se documenta como post-MVP)</t>
  </si>
  <si>
    <t>1) Rate limiting activo en 7 endpoints (decoradores @ratelimit) 2) CORS limitado a dominios configurados (CORS_ALLOWED_ORIGINS, no wildcard) 3) CSRF/XSS protegidos por Django (middleware activo + headers de seguridad) 4) django-csp NO implementado (mejora futura) 5) Headers de seguridad en producción: HSTS, X-Frame-Options, X-Content-Type-Options 6) Validación de inputs en 4 capas: serializers DRF, modelos Django, constraints DB, vistas 7) Transacciones atómicas con ATOMIC_REQUESTS + @transaction.atomic 8) 10+ CheckConstraints en PostgreSQL (stock, precios, cantidades)</t>
  </si>
  <si>
    <t xml:space="preserve">1) Botón “Ir a pagar” lleva siempre a checkout. 2) Usuario logueado salta directo a StepAddress. 3) Invitado ve StepCustomer para datos básicos. </t>
  </si>
  <si>
    <t>1) Campo de imagen disponible en admin. 2) Al guardar se almacena imagen asociada. 3) Errores de formato los maneja Django (sin validaciones custom).</t>
  </si>
  <si>
    <t xml:space="preserve">1) 7 estados: PENDING, PAID, FAILED, CANCELLED, PREPARING, SHIPPED, DELIVERED. 2) Cambio de estado desde detalle en admin. </t>
  </si>
  <si>
    <t xml:space="preserve">Media </t>
  </si>
  <si>
    <t>Product Owner /Dev Backend / DevOps/ QA</t>
  </si>
  <si>
    <t xml:space="preserve">Dev Full-stack (Backend + Frontend)/ QA/ Scrum Master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</si>
</sst>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sz val="11"/>
      <color theme="0"/>
      <name val="Aptos Narrow"/>
      <family val="2"/>
      <scheme val="minor"/>
    </font>
    <font>
      <b/>
      <sz val="11"/>
      <color rgb="FFFFFFFF"/>
      <name val="Arial"/>
      <family val="2"/>
    </font>
    <font>
      <b/>
      <sz val="11"/>
      <color rgb="FFFFFFFF"/>
      <name val="Aptos Narrow"/>
      <family val="2"/>
      <scheme val="minor"/>
    </font>
    <font>
      <sz val="11"/>
      <color rgb="FF000000"/>
      <name val="Aptos Narrow"/>
      <family val="2"/>
      <scheme val="minor"/>
    </font>
    <font>
      <sz val="11"/>
      <color rgb="FFFFFFFF"/>
      <name val="Arial"/>
      <family val="2"/>
    </font>
    <font>
      <sz val="12"/>
      <color theme="1"/>
      <name val="Aptos Narrow"/>
      <family val="2"/>
      <scheme val="minor"/>
    </font>
    <font>
      <sz val="8"/>
      <name val="Aptos Narrow"/>
      <family val="2"/>
      <scheme val="minor"/>
    </font>
  </fonts>
  <fills count="4">
    <fill>
      <patternFill patternType="none"/>
    </fill>
    <fill>
      <patternFill patternType="gray125"/>
    </fill>
    <fill>
      <patternFill patternType="solid">
        <fgColor rgb="FF074F6A"/>
        <bgColor rgb="FF074F6A"/>
      </patternFill>
    </fill>
    <fill>
      <patternFill patternType="solid">
        <fgColor theme="4" tint="-0.249977111117893"/>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14">
    <xf numFmtId="0" fontId="0" fillId="0" borderId="0" xfId="0"/>
    <xf numFmtId="0" fontId="4" fillId="0" borderId="0" xfId="0" applyFont="1"/>
    <xf numFmtId="0" fontId="5" fillId="2" borderId="2" xfId="0" applyFont="1" applyFill="1" applyBorder="1" applyAlignment="1">
      <alignment horizontal="center" vertical="center"/>
    </xf>
    <xf numFmtId="0" fontId="0" fillId="0" borderId="1" xfId="0" applyBorder="1" applyAlignment="1">
      <alignment horizontal="center" vertical="center" wrapText="1"/>
    </xf>
    <xf numFmtId="0" fontId="6" fillId="0" borderId="0" xfId="0" applyFont="1" applyAlignment="1">
      <alignment vertical="center"/>
    </xf>
    <xf numFmtId="0" fontId="2" fillId="2" borderId="1" xfId="0" applyFont="1" applyFill="1" applyBorder="1" applyAlignment="1">
      <alignment horizontal="center" vertical="center"/>
    </xf>
    <xf numFmtId="0" fontId="3" fillId="2" borderId="1" xfId="0" applyFont="1" applyFill="1" applyBorder="1" applyAlignment="1">
      <alignment horizontal="center" vertical="center"/>
    </xf>
    <xf numFmtId="0" fontId="2" fillId="2" borderId="1" xfId="0" applyFont="1" applyFill="1" applyBorder="1" applyAlignment="1">
      <alignment horizontal="center" vertical="center" wrapText="1"/>
    </xf>
    <xf numFmtId="0" fontId="0" fillId="0" borderId="0" xfId="0" applyAlignment="1">
      <alignment horizontal="center" vertical="center" wrapText="1"/>
    </xf>
    <xf numFmtId="0" fontId="1" fillId="3" borderId="0" xfId="0" applyFont="1" applyFill="1" applyAlignment="1">
      <alignment horizontal="center" vertical="center"/>
    </xf>
    <xf numFmtId="0" fontId="1" fillId="3" borderId="0" xfId="0" applyFont="1" applyFill="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0" fillId="0" borderId="1" xfId="0"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huenu\Desktop\CondorShop_FINAL\Backlog_Priorizado.xlsx" TargetMode="External"/><Relationship Id="rId1" Type="http://schemas.openxmlformats.org/officeDocument/2006/relationships/externalLinkPath" Target="Backlog_Priorizad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Backlog"/>
    </sheetNames>
    <sheetDataSet>
      <sheetData sheetId="0">
        <row r="6">
          <cell r="G6" t="str">
            <v>Alta</v>
          </cell>
        </row>
      </sheetData>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FD0CE-75B8-4584-BA3E-D9C57410CE15}">
  <dimension ref="B2:J62"/>
  <sheetViews>
    <sheetView tabSelected="1" zoomScaleNormal="100" workbookViewId="0">
      <selection activeCell="J8" sqref="J8"/>
    </sheetView>
  </sheetViews>
  <sheetFormatPr baseColWidth="10" defaultRowHeight="15" x14ac:dyDescent="0.25"/>
  <cols>
    <col min="3" max="3" width="20.28515625" bestFit="1" customWidth="1"/>
    <col min="4" max="4" width="29.42578125" customWidth="1"/>
    <col min="6" max="6" width="9.140625" bestFit="1" customWidth="1"/>
    <col min="7" max="7" width="70.7109375" customWidth="1"/>
    <col min="9" max="9" width="19.5703125" bestFit="1" customWidth="1"/>
    <col min="10" max="10" width="33.140625" bestFit="1" customWidth="1"/>
  </cols>
  <sheetData>
    <row r="2" spans="2:10" ht="15.75" x14ac:dyDescent="0.25">
      <c r="G2" s="9" t="s">
        <v>25</v>
      </c>
      <c r="H2" s="4"/>
      <c r="I2" s="4"/>
      <c r="J2" s="4"/>
    </row>
    <row r="3" spans="2:10" ht="38.25" customHeight="1" x14ac:dyDescent="0.25">
      <c r="B3" s="5" t="s">
        <v>0</v>
      </c>
      <c r="C3" s="5" t="s">
        <v>1</v>
      </c>
      <c r="D3" s="6" t="s">
        <v>2</v>
      </c>
      <c r="E3" s="6" t="s">
        <v>3</v>
      </c>
      <c r="F3" s="6" t="s">
        <v>4</v>
      </c>
      <c r="G3" s="7" t="s">
        <v>5</v>
      </c>
      <c r="H3" s="1"/>
      <c r="I3" s="2" t="s">
        <v>6</v>
      </c>
      <c r="J3" s="2" t="s">
        <v>7</v>
      </c>
    </row>
    <row r="4" spans="2:10" ht="54" customHeight="1" x14ac:dyDescent="0.25">
      <c r="B4" s="3" t="s">
        <v>8</v>
      </c>
      <c r="C4" s="3" t="s">
        <v>9</v>
      </c>
      <c r="D4" s="3" t="s">
        <v>10</v>
      </c>
      <c r="E4" s="3" t="s">
        <v>11</v>
      </c>
      <c r="F4" s="3" t="s">
        <v>12</v>
      </c>
      <c r="G4" s="3" t="s">
        <v>86</v>
      </c>
      <c r="I4" s="3" t="s">
        <v>202</v>
      </c>
      <c r="J4" s="3" t="s">
        <v>84</v>
      </c>
    </row>
    <row r="5" spans="2:10" ht="60" x14ac:dyDescent="0.25">
      <c r="B5" s="3" t="s">
        <v>13</v>
      </c>
      <c r="C5" s="3" t="s">
        <v>14</v>
      </c>
      <c r="D5" s="3" t="s">
        <v>87</v>
      </c>
      <c r="E5" s="3" t="s">
        <v>11</v>
      </c>
      <c r="F5" s="3" t="s">
        <v>12</v>
      </c>
      <c r="G5" s="3" t="s">
        <v>88</v>
      </c>
      <c r="I5" s="3" t="s">
        <v>203</v>
      </c>
      <c r="J5" s="3" t="s">
        <v>85</v>
      </c>
    </row>
    <row r="6" spans="2:10" ht="45" x14ac:dyDescent="0.25">
      <c r="B6" s="3" t="s">
        <v>15</v>
      </c>
      <c r="C6" s="3" t="s">
        <v>16</v>
      </c>
      <c r="D6" s="3" t="s">
        <v>17</v>
      </c>
      <c r="E6" s="3" t="s">
        <v>11</v>
      </c>
      <c r="F6" s="3" t="s">
        <v>12</v>
      </c>
      <c r="G6" s="3" t="s">
        <v>89</v>
      </c>
    </row>
    <row r="7" spans="2:10" ht="45" x14ac:dyDescent="0.25">
      <c r="B7" s="3" t="s">
        <v>18</v>
      </c>
      <c r="C7" s="3" t="s">
        <v>19</v>
      </c>
      <c r="D7" s="3" t="s">
        <v>20</v>
      </c>
      <c r="E7" s="3" t="s">
        <v>21</v>
      </c>
      <c r="F7" s="3" t="s">
        <v>12</v>
      </c>
      <c r="G7" s="3" t="s">
        <v>90</v>
      </c>
      <c r="J7" s="8"/>
    </row>
    <row r="8" spans="2:10" ht="60" x14ac:dyDescent="0.25">
      <c r="B8" s="3" t="s">
        <v>23</v>
      </c>
      <c r="C8" s="3" t="s">
        <v>24</v>
      </c>
      <c r="D8" s="3" t="s">
        <v>91</v>
      </c>
      <c r="E8" s="3" t="s">
        <v>21</v>
      </c>
      <c r="F8" s="3" t="str">
        <f>[1]Backlog!$G$6</f>
        <v>Alta</v>
      </c>
      <c r="G8" s="3" t="s">
        <v>196</v>
      </c>
      <c r="J8" s="8"/>
    </row>
    <row r="9" spans="2:10" ht="45" x14ac:dyDescent="0.25">
      <c r="B9" s="3" t="s">
        <v>92</v>
      </c>
      <c r="C9" s="3" t="s">
        <v>93</v>
      </c>
      <c r="D9" s="3" t="s">
        <v>94</v>
      </c>
      <c r="E9" s="3" t="s">
        <v>11</v>
      </c>
      <c r="F9" s="3" t="s">
        <v>12</v>
      </c>
      <c r="G9" s="3" t="s">
        <v>95</v>
      </c>
      <c r="J9" s="8"/>
    </row>
    <row r="10" spans="2:10" x14ac:dyDescent="0.25">
      <c r="B10" s="8"/>
      <c r="C10" s="8"/>
      <c r="D10" s="8"/>
      <c r="E10" s="8"/>
      <c r="F10" s="8"/>
      <c r="G10" s="8"/>
    </row>
    <row r="11" spans="2:10" x14ac:dyDescent="0.25">
      <c r="B11" s="8"/>
      <c r="C11" s="8"/>
      <c r="D11" s="8"/>
      <c r="E11" s="8"/>
      <c r="F11" s="8"/>
      <c r="G11" s="10" t="s">
        <v>26</v>
      </c>
    </row>
    <row r="12" spans="2:10" ht="30" x14ac:dyDescent="0.25">
      <c r="B12" s="3" t="s">
        <v>27</v>
      </c>
      <c r="C12" s="3" t="s">
        <v>32</v>
      </c>
      <c r="D12" s="3" t="s">
        <v>96</v>
      </c>
      <c r="E12" s="3" t="s">
        <v>11</v>
      </c>
      <c r="F12" s="3" t="s">
        <v>12</v>
      </c>
      <c r="G12" s="3" t="s">
        <v>97</v>
      </c>
    </row>
    <row r="13" spans="2:10" ht="45" x14ac:dyDescent="0.25">
      <c r="B13" s="3" t="s">
        <v>28</v>
      </c>
      <c r="C13" s="3" t="s">
        <v>98</v>
      </c>
      <c r="D13" s="3" t="s">
        <v>99</v>
      </c>
      <c r="E13" s="3" t="s">
        <v>21</v>
      </c>
      <c r="F13" s="3" t="s">
        <v>22</v>
      </c>
      <c r="G13" s="3" t="s">
        <v>100</v>
      </c>
    </row>
    <row r="14" spans="2:10" ht="45" x14ac:dyDescent="0.25">
      <c r="B14" s="3" t="s">
        <v>29</v>
      </c>
      <c r="C14" s="3" t="s">
        <v>33</v>
      </c>
      <c r="D14" s="3" t="s">
        <v>34</v>
      </c>
      <c r="E14" s="3" t="s">
        <v>21</v>
      </c>
      <c r="F14" s="3" t="s">
        <v>22</v>
      </c>
      <c r="G14" s="3" t="s">
        <v>101</v>
      </c>
    </row>
    <row r="15" spans="2:10" ht="45" x14ac:dyDescent="0.25">
      <c r="B15" s="11" t="s">
        <v>30</v>
      </c>
      <c r="C15" s="11" t="s">
        <v>35</v>
      </c>
      <c r="D15" s="11" t="s">
        <v>102</v>
      </c>
      <c r="E15" s="11" t="s">
        <v>11</v>
      </c>
      <c r="F15" s="11" t="s">
        <v>12</v>
      </c>
      <c r="G15" s="11" t="s">
        <v>103</v>
      </c>
    </row>
    <row r="16" spans="2:10" ht="60" x14ac:dyDescent="0.25">
      <c r="B16" s="3" t="s">
        <v>31</v>
      </c>
      <c r="C16" s="3" t="s">
        <v>104</v>
      </c>
      <c r="D16" s="3" t="s">
        <v>105</v>
      </c>
      <c r="E16" s="3" t="s">
        <v>11</v>
      </c>
      <c r="F16" s="3" t="s">
        <v>12</v>
      </c>
      <c r="G16" s="3" t="s">
        <v>106</v>
      </c>
    </row>
    <row r="17" spans="2:7" x14ac:dyDescent="0.25">
      <c r="B17" s="8"/>
      <c r="C17" s="8"/>
      <c r="D17" s="8"/>
      <c r="E17" s="8"/>
      <c r="F17" s="8"/>
      <c r="G17" s="8"/>
    </row>
    <row r="18" spans="2:7" x14ac:dyDescent="0.25">
      <c r="B18" s="8"/>
      <c r="C18" s="8"/>
      <c r="D18" s="8"/>
      <c r="E18" s="8"/>
      <c r="F18" s="8"/>
      <c r="G18" s="10" t="s">
        <v>36</v>
      </c>
    </row>
    <row r="19" spans="2:7" ht="45" x14ac:dyDescent="0.25">
      <c r="B19" s="3" t="s">
        <v>37</v>
      </c>
      <c r="C19" s="3" t="s">
        <v>107</v>
      </c>
      <c r="D19" s="3" t="s">
        <v>108</v>
      </c>
      <c r="E19" s="3" t="s">
        <v>11</v>
      </c>
      <c r="F19" s="11" t="s">
        <v>12</v>
      </c>
      <c r="G19" s="3" t="s">
        <v>109</v>
      </c>
    </row>
    <row r="20" spans="2:7" ht="45" x14ac:dyDescent="0.25">
      <c r="B20" s="3" t="s">
        <v>38</v>
      </c>
      <c r="C20" s="12" t="s">
        <v>110</v>
      </c>
      <c r="D20" s="12" t="s">
        <v>111</v>
      </c>
      <c r="E20" s="12" t="s">
        <v>21</v>
      </c>
      <c r="F20" s="11" t="s">
        <v>12</v>
      </c>
      <c r="G20" s="12" t="s">
        <v>112</v>
      </c>
    </row>
    <row r="21" spans="2:7" ht="45" x14ac:dyDescent="0.25">
      <c r="B21" s="3" t="s">
        <v>39</v>
      </c>
      <c r="C21" s="3" t="s">
        <v>42</v>
      </c>
      <c r="D21" s="3" t="s">
        <v>113</v>
      </c>
      <c r="E21" s="12" t="s">
        <v>21</v>
      </c>
      <c r="F21" s="11" t="s">
        <v>12</v>
      </c>
      <c r="G21" s="3" t="s">
        <v>114</v>
      </c>
    </row>
    <row r="22" spans="2:7" ht="60" x14ac:dyDescent="0.25">
      <c r="B22" s="3" t="s">
        <v>40</v>
      </c>
      <c r="C22" s="3" t="s">
        <v>115</v>
      </c>
      <c r="D22" s="3" t="s">
        <v>116</v>
      </c>
      <c r="E22" s="12" t="s">
        <v>11</v>
      </c>
      <c r="F22" s="11" t="s">
        <v>12</v>
      </c>
      <c r="G22" s="3" t="s">
        <v>117</v>
      </c>
    </row>
    <row r="23" spans="2:7" ht="45" x14ac:dyDescent="0.25">
      <c r="B23" s="3" t="s">
        <v>41</v>
      </c>
      <c r="C23" s="3" t="s">
        <v>43</v>
      </c>
      <c r="D23" s="3" t="s">
        <v>118</v>
      </c>
      <c r="E23" s="3" t="s">
        <v>21</v>
      </c>
      <c r="F23" s="3" t="s">
        <v>12</v>
      </c>
      <c r="G23" s="3" t="s">
        <v>119</v>
      </c>
    </row>
    <row r="24" spans="2:7" x14ac:dyDescent="0.25">
      <c r="B24" s="8"/>
      <c r="C24" s="8"/>
      <c r="D24" s="8"/>
      <c r="E24" s="8"/>
      <c r="F24" s="8"/>
      <c r="G24" s="8"/>
    </row>
    <row r="25" spans="2:7" x14ac:dyDescent="0.25">
      <c r="B25" s="8"/>
      <c r="C25" s="8"/>
      <c r="D25" s="8"/>
      <c r="E25" s="8"/>
      <c r="F25" s="8"/>
      <c r="G25" s="10" t="s">
        <v>44</v>
      </c>
    </row>
    <row r="26" spans="2:7" ht="45" x14ac:dyDescent="0.25">
      <c r="B26" s="3" t="s">
        <v>45</v>
      </c>
      <c r="C26" s="3" t="s">
        <v>50</v>
      </c>
      <c r="D26" s="3" t="s">
        <v>183</v>
      </c>
      <c r="E26" s="3" t="s">
        <v>11</v>
      </c>
      <c r="F26" s="3" t="s">
        <v>22</v>
      </c>
      <c r="G26" s="3" t="s">
        <v>184</v>
      </c>
    </row>
    <row r="27" spans="2:7" ht="45" x14ac:dyDescent="0.25">
      <c r="B27" s="3" t="s">
        <v>46</v>
      </c>
      <c r="C27" s="3" t="s">
        <v>185</v>
      </c>
      <c r="D27" s="3" t="s">
        <v>186</v>
      </c>
      <c r="E27" s="3" t="s">
        <v>11</v>
      </c>
      <c r="F27" s="3" t="s">
        <v>22</v>
      </c>
      <c r="G27" s="3" t="s">
        <v>187</v>
      </c>
    </row>
    <row r="28" spans="2:7" ht="45" x14ac:dyDescent="0.25">
      <c r="B28" s="3" t="s">
        <v>47</v>
      </c>
      <c r="C28" s="3" t="s">
        <v>188</v>
      </c>
      <c r="D28" s="3" t="s">
        <v>189</v>
      </c>
      <c r="E28" s="3" t="s">
        <v>21</v>
      </c>
      <c r="F28" s="3" t="s">
        <v>22</v>
      </c>
      <c r="G28" s="3" t="s">
        <v>190</v>
      </c>
    </row>
    <row r="29" spans="2:7" ht="45" x14ac:dyDescent="0.25">
      <c r="B29" s="3" t="s">
        <v>48</v>
      </c>
      <c r="C29" s="3" t="s">
        <v>191</v>
      </c>
      <c r="D29" s="3" t="s">
        <v>51</v>
      </c>
      <c r="E29" s="3" t="s">
        <v>21</v>
      </c>
      <c r="F29" s="3" t="s">
        <v>22</v>
      </c>
      <c r="G29" s="3" t="s">
        <v>192</v>
      </c>
    </row>
    <row r="30" spans="2:7" ht="45" x14ac:dyDescent="0.25">
      <c r="B30" s="3" t="s">
        <v>49</v>
      </c>
      <c r="C30" s="3" t="s">
        <v>193</v>
      </c>
      <c r="D30" s="3" t="s">
        <v>194</v>
      </c>
      <c r="E30" s="3" t="s">
        <v>21</v>
      </c>
      <c r="F30" s="3" t="s">
        <v>22</v>
      </c>
      <c r="G30" s="3" t="s">
        <v>195</v>
      </c>
    </row>
    <row r="32" spans="2:7" x14ac:dyDescent="0.25">
      <c r="B32" s="8"/>
      <c r="C32" s="8"/>
      <c r="D32" s="8"/>
      <c r="E32" s="8"/>
      <c r="F32" s="8"/>
      <c r="G32" s="10" t="s">
        <v>52</v>
      </c>
    </row>
    <row r="33" spans="2:7" ht="45" x14ac:dyDescent="0.25">
      <c r="B33" s="3" t="s">
        <v>53</v>
      </c>
      <c r="C33" s="3" t="s">
        <v>120</v>
      </c>
      <c r="D33" s="3" t="s">
        <v>121</v>
      </c>
      <c r="E33" s="3" t="s">
        <v>11</v>
      </c>
      <c r="F33" s="3" t="s">
        <v>12</v>
      </c>
      <c r="G33" s="3" t="s">
        <v>198</v>
      </c>
    </row>
    <row r="34" spans="2:7" ht="45" x14ac:dyDescent="0.25">
      <c r="B34" s="3" t="s">
        <v>54</v>
      </c>
      <c r="C34" s="3" t="s">
        <v>122</v>
      </c>
      <c r="D34" s="3" t="s">
        <v>123</v>
      </c>
      <c r="E34" s="3" t="s">
        <v>11</v>
      </c>
      <c r="F34" s="3" t="s">
        <v>12</v>
      </c>
      <c r="G34" s="3" t="s">
        <v>124</v>
      </c>
    </row>
    <row r="35" spans="2:7" ht="60" x14ac:dyDescent="0.25">
      <c r="B35" s="3" t="s">
        <v>55</v>
      </c>
      <c r="C35" s="3" t="s">
        <v>125</v>
      </c>
      <c r="D35" s="3" t="s">
        <v>126</v>
      </c>
      <c r="E35" s="3" t="s">
        <v>11</v>
      </c>
      <c r="F35" s="3" t="s">
        <v>12</v>
      </c>
      <c r="G35" s="3" t="s">
        <v>127</v>
      </c>
    </row>
    <row r="36" spans="2:7" ht="45" x14ac:dyDescent="0.25">
      <c r="B36" s="3" t="s">
        <v>56</v>
      </c>
      <c r="C36" s="3" t="s">
        <v>128</v>
      </c>
      <c r="D36" s="3" t="s">
        <v>129</v>
      </c>
      <c r="E36" s="3" t="s">
        <v>11</v>
      </c>
      <c r="F36" s="3" t="s">
        <v>12</v>
      </c>
      <c r="G36" s="3" t="s">
        <v>130</v>
      </c>
    </row>
    <row r="37" spans="2:7" ht="45" x14ac:dyDescent="0.25">
      <c r="B37" s="3" t="s">
        <v>57</v>
      </c>
      <c r="C37" s="3" t="s">
        <v>131</v>
      </c>
      <c r="D37" s="3" t="s">
        <v>132</v>
      </c>
      <c r="E37" s="3" t="s">
        <v>11</v>
      </c>
      <c r="F37" s="3" t="s">
        <v>12</v>
      </c>
      <c r="G37" s="3" t="s">
        <v>133</v>
      </c>
    </row>
    <row r="38" spans="2:7" ht="60" x14ac:dyDescent="0.25">
      <c r="B38" s="3" t="s">
        <v>58</v>
      </c>
      <c r="C38" s="3" t="s">
        <v>134</v>
      </c>
      <c r="D38" s="3" t="s">
        <v>135</v>
      </c>
      <c r="E38" s="3" t="s">
        <v>21</v>
      </c>
      <c r="F38" s="3" t="s">
        <v>201</v>
      </c>
      <c r="G38" s="3" t="s">
        <v>136</v>
      </c>
    </row>
    <row r="39" spans="2:7" ht="45" x14ac:dyDescent="0.25">
      <c r="B39" s="3" t="s">
        <v>59</v>
      </c>
      <c r="C39" s="3" t="s">
        <v>137</v>
      </c>
      <c r="D39" s="3" t="s">
        <v>138</v>
      </c>
      <c r="E39" s="3" t="s">
        <v>21</v>
      </c>
      <c r="F39" s="3" t="s">
        <v>12</v>
      </c>
      <c r="G39" s="3" t="s">
        <v>139</v>
      </c>
    </row>
    <row r="40" spans="2:7" ht="60" x14ac:dyDescent="0.25">
      <c r="B40" s="3" t="s">
        <v>140</v>
      </c>
      <c r="C40" s="3" t="s">
        <v>60</v>
      </c>
      <c r="D40" s="3" t="s">
        <v>141</v>
      </c>
      <c r="E40" s="3" t="s">
        <v>11</v>
      </c>
      <c r="F40" s="3" t="s">
        <v>12</v>
      </c>
      <c r="G40" s="3" t="s">
        <v>142</v>
      </c>
    </row>
    <row r="42" spans="2:7" x14ac:dyDescent="0.25">
      <c r="B42" s="8"/>
      <c r="C42" s="8"/>
      <c r="D42" s="8"/>
      <c r="E42" s="8"/>
      <c r="F42" s="8"/>
      <c r="G42" s="10" t="s">
        <v>61</v>
      </c>
    </row>
    <row r="43" spans="2:7" ht="45" x14ac:dyDescent="0.25">
      <c r="B43" s="3" t="s">
        <v>62</v>
      </c>
      <c r="C43" s="3" t="s">
        <v>69</v>
      </c>
      <c r="D43" s="3" t="s">
        <v>143</v>
      </c>
      <c r="E43" s="3" t="s">
        <v>11</v>
      </c>
      <c r="F43" s="3" t="s">
        <v>22</v>
      </c>
      <c r="G43" s="3" t="s">
        <v>144</v>
      </c>
    </row>
    <row r="44" spans="2:7" ht="45" x14ac:dyDescent="0.25">
      <c r="B44" s="3" t="s">
        <v>63</v>
      </c>
      <c r="C44" s="3" t="s">
        <v>70</v>
      </c>
      <c r="D44" s="3" t="s">
        <v>71</v>
      </c>
      <c r="E44" s="3" t="s">
        <v>11</v>
      </c>
      <c r="F44" s="3" t="s">
        <v>22</v>
      </c>
      <c r="G44" s="3" t="s">
        <v>145</v>
      </c>
    </row>
    <row r="45" spans="2:7" ht="45" x14ac:dyDescent="0.25">
      <c r="B45" s="3" t="s">
        <v>64</v>
      </c>
      <c r="C45" s="3" t="s">
        <v>146</v>
      </c>
      <c r="D45" s="3" t="s">
        <v>147</v>
      </c>
      <c r="E45" s="3" t="s">
        <v>21</v>
      </c>
      <c r="F45" s="3" t="s">
        <v>22</v>
      </c>
      <c r="G45" s="3" t="s">
        <v>199</v>
      </c>
    </row>
    <row r="46" spans="2:7" ht="45" x14ac:dyDescent="0.25">
      <c r="B46" s="3" t="s">
        <v>65</v>
      </c>
      <c r="C46" s="3" t="s">
        <v>148</v>
      </c>
      <c r="D46" s="3" t="s">
        <v>149</v>
      </c>
      <c r="E46" s="3" t="s">
        <v>21</v>
      </c>
      <c r="F46" s="3" t="s">
        <v>22</v>
      </c>
      <c r="G46" s="3" t="s">
        <v>150</v>
      </c>
    </row>
    <row r="47" spans="2:7" ht="30" x14ac:dyDescent="0.25">
      <c r="B47" s="3" t="s">
        <v>66</v>
      </c>
      <c r="C47" s="3" t="s">
        <v>72</v>
      </c>
      <c r="D47" s="3" t="s">
        <v>151</v>
      </c>
      <c r="E47" s="3" t="s">
        <v>21</v>
      </c>
      <c r="F47" s="3" t="s">
        <v>22</v>
      </c>
      <c r="G47" s="3" t="s">
        <v>200</v>
      </c>
    </row>
    <row r="48" spans="2:7" ht="45" x14ac:dyDescent="0.25">
      <c r="B48" s="3" t="s">
        <v>67</v>
      </c>
      <c r="C48" s="3" t="s">
        <v>73</v>
      </c>
      <c r="D48" s="3" t="s">
        <v>74</v>
      </c>
      <c r="E48" s="3" t="s">
        <v>21</v>
      </c>
      <c r="F48" s="3" t="s">
        <v>22</v>
      </c>
      <c r="G48" s="3" t="s">
        <v>152</v>
      </c>
    </row>
    <row r="49" spans="2:7" ht="45" x14ac:dyDescent="0.25">
      <c r="B49" s="3" t="s">
        <v>68</v>
      </c>
      <c r="C49" s="3" t="s">
        <v>153</v>
      </c>
      <c r="D49" s="3" t="s">
        <v>154</v>
      </c>
      <c r="E49" s="3" t="s">
        <v>21</v>
      </c>
      <c r="F49" s="3" t="s">
        <v>22</v>
      </c>
      <c r="G49" s="3" t="s">
        <v>155</v>
      </c>
    </row>
    <row r="50" spans="2:7" ht="60" x14ac:dyDescent="0.25">
      <c r="B50" s="3" t="s">
        <v>156</v>
      </c>
      <c r="C50" s="3" t="s">
        <v>157</v>
      </c>
      <c r="D50" s="3" t="s">
        <v>158</v>
      </c>
      <c r="E50" s="3" t="s">
        <v>21</v>
      </c>
      <c r="F50" s="3" t="s">
        <v>22</v>
      </c>
      <c r="G50" s="3" t="s">
        <v>159</v>
      </c>
    </row>
    <row r="52" spans="2:7" x14ac:dyDescent="0.25">
      <c r="B52" s="8"/>
      <c r="C52" s="8"/>
      <c r="D52" s="8"/>
      <c r="E52" s="8"/>
      <c r="F52" s="8"/>
      <c r="G52" s="10" t="s">
        <v>75</v>
      </c>
    </row>
    <row r="53" spans="2:7" ht="120" x14ac:dyDescent="0.25">
      <c r="B53" s="3" t="s">
        <v>76</v>
      </c>
      <c r="C53" s="3" t="s">
        <v>160</v>
      </c>
      <c r="D53" s="3" t="s">
        <v>161</v>
      </c>
      <c r="E53" s="3" t="s">
        <v>11</v>
      </c>
      <c r="F53" s="3" t="s">
        <v>12</v>
      </c>
      <c r="G53" s="3" t="s">
        <v>197</v>
      </c>
    </row>
    <row r="54" spans="2:7" ht="45" x14ac:dyDescent="0.25">
      <c r="B54" s="3" t="s">
        <v>77</v>
      </c>
      <c r="C54" s="3" t="s">
        <v>162</v>
      </c>
      <c r="D54" s="3" t="s">
        <v>163</v>
      </c>
      <c r="E54" s="3" t="s">
        <v>21</v>
      </c>
      <c r="F54" s="3" t="s">
        <v>12</v>
      </c>
      <c r="G54" s="3" t="s">
        <v>164</v>
      </c>
    </row>
    <row r="55" spans="2:7" ht="45" x14ac:dyDescent="0.25">
      <c r="B55" s="3" t="s">
        <v>78</v>
      </c>
      <c r="C55" s="3" t="s">
        <v>165</v>
      </c>
      <c r="D55" s="3" t="s">
        <v>166</v>
      </c>
      <c r="E55" s="3" t="s">
        <v>21</v>
      </c>
      <c r="F55" s="3" t="s">
        <v>12</v>
      </c>
      <c r="G55" s="3" t="s">
        <v>167</v>
      </c>
    </row>
    <row r="57" spans="2:7" x14ac:dyDescent="0.25">
      <c r="B57" s="8"/>
      <c r="C57" s="8"/>
      <c r="D57" s="8"/>
      <c r="E57" s="8"/>
      <c r="F57" s="8"/>
      <c r="G57" s="10" t="s">
        <v>75</v>
      </c>
    </row>
    <row r="58" spans="2:7" ht="45" x14ac:dyDescent="0.25">
      <c r="B58" s="3" t="s">
        <v>79</v>
      </c>
      <c r="C58" s="3" t="s">
        <v>168</v>
      </c>
      <c r="D58" s="3" t="s">
        <v>169</v>
      </c>
      <c r="E58" s="3" t="s">
        <v>21</v>
      </c>
      <c r="F58" s="3" t="s">
        <v>12</v>
      </c>
      <c r="G58" s="3" t="s">
        <v>170</v>
      </c>
    </row>
    <row r="59" spans="2:7" ht="45" x14ac:dyDescent="0.25">
      <c r="B59" s="3" t="s">
        <v>80</v>
      </c>
      <c r="C59" s="3" t="s">
        <v>171</v>
      </c>
      <c r="D59" s="3" t="s">
        <v>172</v>
      </c>
      <c r="E59" s="3" t="s">
        <v>21</v>
      </c>
      <c r="F59" s="13" t="s">
        <v>22</v>
      </c>
      <c r="G59" s="3" t="s">
        <v>173</v>
      </c>
    </row>
    <row r="60" spans="2:7" ht="45" x14ac:dyDescent="0.25">
      <c r="B60" s="3" t="s">
        <v>81</v>
      </c>
      <c r="C60" s="3" t="s">
        <v>174</v>
      </c>
      <c r="D60" s="3" t="s">
        <v>175</v>
      </c>
      <c r="E60" s="3" t="s">
        <v>21</v>
      </c>
      <c r="F60" s="13" t="s">
        <v>22</v>
      </c>
      <c r="G60" s="3" t="s">
        <v>176</v>
      </c>
    </row>
    <row r="61" spans="2:7" ht="45" x14ac:dyDescent="0.25">
      <c r="B61" s="3" t="s">
        <v>82</v>
      </c>
      <c r="C61" s="3" t="s">
        <v>177</v>
      </c>
      <c r="D61" s="3" t="s">
        <v>178</v>
      </c>
      <c r="E61" s="3" t="s">
        <v>21</v>
      </c>
      <c r="F61" s="13" t="s">
        <v>22</v>
      </c>
      <c r="G61" s="3" t="s">
        <v>179</v>
      </c>
    </row>
    <row r="62" spans="2:7" ht="45" x14ac:dyDescent="0.25">
      <c r="B62" s="3" t="s">
        <v>83</v>
      </c>
      <c r="C62" s="3" t="s">
        <v>180</v>
      </c>
      <c r="D62" s="3" t="s">
        <v>181</v>
      </c>
      <c r="E62" s="3" t="s">
        <v>21</v>
      </c>
      <c r="F62" s="13" t="s">
        <v>22</v>
      </c>
      <c r="G62" s="3" t="s">
        <v>182</v>
      </c>
    </row>
  </sheetData>
  <phoneticPr fontId="7"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Backlog Refinado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BENJAMIN . HUENUPE ALMONTE</dc:creator>
  <cp:lastModifiedBy>BENJAMIN . HUENUPE ALMONTE</cp:lastModifiedBy>
  <dcterms:created xsi:type="dcterms:W3CDTF">2025-10-08T19:55:39Z</dcterms:created>
  <dcterms:modified xsi:type="dcterms:W3CDTF">2025-11-23T22:29:17Z</dcterms:modified>
</cp:coreProperties>
</file>