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enu\Desktop\CondorShop_FINAL\"/>
    </mc:Choice>
  </mc:AlternateContent>
  <xr:revisionPtr revIDLastSave="0" documentId="13_ncr:1_{D08DD4F5-2FD5-43AC-A6FA-8FE567516E45}" xr6:coauthVersionLast="47" xr6:coauthVersionMax="47" xr10:uidLastSave="{00000000-0000-0000-0000-000000000000}"/>
  <bookViews>
    <workbookView xWindow="-120" yWindow="-120" windowWidth="29040" windowHeight="15720" activeTab="6" xr2:uid="{46244CA5-5AE2-48E8-96A0-4AFA6EE69527}"/>
  </bookViews>
  <sheets>
    <sheet name="Sprint 1" sheetId="1" r:id="rId1"/>
    <sheet name="Sprint 2" sheetId="2" r:id="rId2"/>
    <sheet name="Sprint 3" sheetId="3" r:id="rId3"/>
    <sheet name="Sprint 4" sheetId="4" r:id="rId4"/>
    <sheet name="Sprint 5" sheetId="5" r:id="rId5"/>
    <sheet name="Sprint 6" sheetId="6" r:id="rId6"/>
    <sheet name="Sprint 7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7" l="1"/>
  <c r="E19" i="7"/>
  <c r="F19" i="6"/>
  <c r="E19" i="6"/>
  <c r="F16" i="5"/>
  <c r="E16" i="5"/>
  <c r="F16" i="4"/>
  <c r="E16" i="4"/>
  <c r="F43" i="3"/>
  <c r="E43" i="3"/>
  <c r="F22" i="2"/>
  <c r="E22" i="2"/>
  <c r="F28" i="1"/>
  <c r="E28" i="1"/>
</calcChain>
</file>

<file path=xl/sharedStrings.xml><?xml version="1.0" encoding="utf-8"?>
<sst xmlns="http://schemas.openxmlformats.org/spreadsheetml/2006/main" count="731" uniqueCount="200">
  <si>
    <t>Historia</t>
  </si>
  <si>
    <t>Responsable(s)</t>
  </si>
  <si>
    <t>Estado</t>
  </si>
  <si>
    <t>Prioridad</t>
  </si>
  <si>
    <t>Tarea (entregable)</t>
  </si>
  <si>
    <t>Horas estimadas</t>
  </si>
  <si>
    <t>Horas realizadas</t>
  </si>
  <si>
    <t>E1-HU1</t>
  </si>
  <si>
    <t>Alta</t>
  </si>
  <si>
    <t>E1-HU2</t>
  </si>
  <si>
    <t>Media</t>
  </si>
  <si>
    <t>E2-HU1</t>
  </si>
  <si>
    <t>E2-HU2</t>
  </si>
  <si>
    <t>E2-HU5</t>
  </si>
  <si>
    <t>E3-HU4</t>
  </si>
  <si>
    <t>E8-HU2</t>
  </si>
  <si>
    <t>E8-HU4</t>
  </si>
  <si>
    <t>E4-HU1</t>
  </si>
  <si>
    <t>E7-HU2</t>
  </si>
  <si>
    <t>E7-HU5</t>
  </si>
  <si>
    <t>E1-HU5</t>
  </si>
  <si>
    <t>E3-HU1</t>
  </si>
  <si>
    <t>E3-HU2</t>
  </si>
  <si>
    <t>E3-HU3</t>
  </si>
  <si>
    <t>E8-HU1</t>
  </si>
  <si>
    <t>E8-HU3</t>
  </si>
  <si>
    <t>E4-HU7</t>
  </si>
  <si>
    <t>E5-HU4</t>
  </si>
  <si>
    <t>E7-HU3</t>
  </si>
  <si>
    <t>E7-HU4</t>
  </si>
  <si>
    <t>Juan Rodríguez</t>
  </si>
  <si>
    <t>Benjamín Huenupe</t>
  </si>
  <si>
    <t>Terminado</t>
  </si>
  <si>
    <t>E4-HU2</t>
  </si>
  <si>
    <t>E4-HU3</t>
  </si>
  <si>
    <t>E4-HU4</t>
  </si>
  <si>
    <t>E4-HU5</t>
  </si>
  <si>
    <t>E4-HU6</t>
  </si>
  <si>
    <t>E6-HU1</t>
  </si>
  <si>
    <t>Definir y configurar rutas semánticas para productos y categorías</t>
  </si>
  <si>
    <t>Crear y exponer archivo robots.txt estático en Django</t>
  </si>
  <si>
    <t>Probar navegación a URLs configuradas en entorno local</t>
  </si>
  <si>
    <t>Juan/Benjamín</t>
  </si>
  <si>
    <t>E1-HU6</t>
  </si>
  <si>
    <t>Modelar entidad Category en Django con jerarquía de hasta 3 niveles</t>
  </si>
  <si>
    <t>Configurar Django Admin para crear/editar categorías y subcategorías</t>
  </si>
  <si>
    <t>Probar creación de árbol de categorías y filtros de API</t>
  </si>
  <si>
    <t>E5-HU1</t>
  </si>
  <si>
    <t>Configurar Django Admin y revisar ajustes de seguridad básicos</t>
  </si>
  <si>
    <t>Definir roles de usuario en BD y crear usuarios de prueba</t>
  </si>
  <si>
    <t>Probar acceso a /admin verificando permisos de rol admin</t>
  </si>
  <si>
    <t>E5-HU2</t>
  </si>
  <si>
    <t>Configurar sección Productos en Django Admin</t>
  </si>
  <si>
    <t>Implementar validaciones de negocio en modelo producto</t>
  </si>
  <si>
    <t>Probar ciclo completo de CRUD de productos desde el panel</t>
  </si>
  <si>
    <t>E6-HU2</t>
  </si>
  <si>
    <t>Configurar sistema de logging en settings.py</t>
  </si>
  <si>
    <t>Registrar eventos clave: login, creación de orden, errores de API</t>
  </si>
  <si>
    <t>Verificar que los logs se generen correctamente</t>
  </si>
  <si>
    <t>E6-HU3</t>
  </si>
  <si>
    <t>Integrar django-environ y crear archivo .env</t>
  </si>
  <si>
    <t>Extraer credenciales desde settings.py hacia .env</t>
  </si>
  <si>
    <t>Probar que el proyecto levante con variables críticas</t>
  </si>
  <si>
    <t>Definir modelo de usuario o extensión de AbstractUser</t>
  </si>
  <si>
    <t>Implementar endpoint REST de registro con validaciones</t>
  </si>
  <si>
    <t>Probar flujo de registro con Postman/Thunder Client</t>
  </si>
  <si>
    <t>Implementar autenticación JWT</t>
  </si>
  <si>
    <t>Crear endpoint de login con validación de credenciales</t>
  </si>
  <si>
    <t>Probar flujo de login con cliente API</t>
  </si>
  <si>
    <t>SPRINT 2</t>
  </si>
  <si>
    <t>Modelar ProductPriceHistory y configurar signals</t>
  </si>
  <si>
    <t>Crear endpoint /api/products/{slug}/price-history/</t>
  </si>
  <si>
    <t>Configurar inline de historial de precios en Django Admin</t>
  </si>
  <si>
    <t>E4-HU8</t>
  </si>
  <si>
    <t>Implementar funciones reserve_stock(), confirm_sale() y release_stock()</t>
  </si>
  <si>
    <t>Modelar InventoryMovement para registrar movimientos de stock</t>
  </si>
  <si>
    <t>Probar escenarios de compra concurrente y fallos de pago</t>
  </si>
  <si>
    <t>E5-HU8</t>
  </si>
  <si>
    <t>Diseñar y crear modelos OrderShippingSnapshot y OrderItemSnapshot</t>
  </si>
  <si>
    <t>Configurar lógica para generar snapshots al crear/confirmar orden</t>
  </si>
  <si>
    <t>Probar visualización de pedidos antiguos en Django Admin</t>
  </si>
  <si>
    <t>Configurar rate limiting con decoradores @ratelimit</t>
  </si>
  <si>
    <t>Ajustar CORS, CSRF y cabeceras seguras en settings.py</t>
  </si>
  <si>
    <t>Probar escenarios de abuso y validar respuestas de error</t>
  </si>
  <si>
    <t>Implementar endpoint para solicitar recuperación de contraseña</t>
  </si>
  <si>
    <t>Configurar envío de correo SMTP para recuperación</t>
  </si>
  <si>
    <t>Probar casos de token válido, inválido y errores de envío</t>
  </si>
  <si>
    <t>Extender modelo de usuario/perfil para teléfono y dirección</t>
  </si>
  <si>
    <t>Crear endpoints REST para ver y actualizar perfil</t>
  </si>
  <si>
    <t>Probar actualización de perfil desde cliente API</t>
  </si>
  <si>
    <t>Crear vista de catálogo en React con grid de tarjetas</t>
  </si>
  <si>
    <t>Consumir API /api/products/ con parámetros de paginación</t>
  </si>
  <si>
    <t>Probar navegación Anterior/Siguiente</t>
  </si>
  <si>
    <t>Agregar barra de búsqueda en catálogo</t>
  </si>
  <si>
    <t>Conectar búsqueda con API usando parámetro search=</t>
  </si>
  <si>
    <t>Probar búsqueda con y sin resultados</t>
  </si>
  <si>
    <t>E1-HU3</t>
  </si>
  <si>
    <t>Diseñar componentes de filtros de categoría y precio</t>
  </si>
  <si>
    <t>Integrar filtros con API combinando parámetros</t>
  </si>
  <si>
    <t>Probar persistencia de filtros al paginar</t>
  </si>
  <si>
    <t>E1-HU4</t>
  </si>
  <si>
    <t>Agregar selector "Ordenar por" con opciones</t>
  </si>
  <si>
    <t>Conectar orden con API usando parámetro ordering</t>
  </si>
  <si>
    <t>Validar que orden se mantenga al cambiar página</t>
  </si>
  <si>
    <t>Crear página de ficha de producto en React Router</t>
  </si>
  <si>
    <t>Consumir API /api/products/{slug}/ y mostrar datos</t>
  </si>
  <si>
    <t>Probar distintos productos verificando visualización</t>
  </si>
  <si>
    <t>Implementar galería de imágenes con miniaturas</t>
  </si>
  <si>
    <t>Manejar caso de productos con una sola imagen</t>
  </si>
  <si>
    <t>Probar navegación entre imágenes en desktop y móvil</t>
  </si>
  <si>
    <t>E2-HU3</t>
  </si>
  <si>
    <t>Crear componente de selector de cantidad</t>
  </si>
  <si>
    <t>Validar que cantidad no supere stock disponible</t>
  </si>
  <si>
    <t>Probar integración con flujo "Agregar al carrito"</t>
  </si>
  <si>
    <t>E2-HU4</t>
  </si>
  <si>
    <t>Programar botón "Agregar al carrito" con estado global</t>
  </si>
  <si>
    <t>Actualizar contador del carrito y persistir ítems</t>
  </si>
  <si>
    <t>Mostrar toast de confirmación con opciones</t>
  </si>
  <si>
    <t>Crear página de carrito en React con listado</t>
  </si>
  <si>
    <t>Calcular subtotal y total a partir de ítems</t>
  </si>
  <si>
    <t>Probar carrito con ítems y carrito vacío</t>
  </si>
  <si>
    <t>Reutilizar selector de cantidad en vista de carrito</t>
  </si>
  <si>
    <t>Implementar acción de eliminar producto del carrito</t>
  </si>
  <si>
    <t>Validar recálculo de totales en tiempo real</t>
  </si>
  <si>
    <t>E3-HU5</t>
  </si>
  <si>
    <t>Añadir botón "Seguir comprando" en vista de carrito</t>
  </si>
  <si>
    <t>Asegurar que estado del carrito se mantenga navegando</t>
  </si>
  <si>
    <t>Probar flujo completo catálogo → carrito → seguir comprando</t>
  </si>
  <si>
    <t>Crear ruta /checkout en React Router</t>
  </si>
  <si>
    <t>Implementar lógica de flujo según autenticación</t>
  </si>
  <si>
    <t>Probar comportamiento con usuario logueado e invitado</t>
  </si>
  <si>
    <t>Diseñar formulario de datos de contacto y envío</t>
  </si>
  <si>
    <t>Conectar formulario con API de checkout</t>
  </si>
  <si>
    <t>Probar validaciones de campos obligatorios</t>
  </si>
  <si>
    <t>Modelar reglas de envío en backend y exponerlas en API</t>
  </si>
  <si>
    <t>Actualizar lógica del checkout para calcular costo de envío</t>
  </si>
  <si>
    <t>Probar casos donde subtotal sube y baja del umbral</t>
  </si>
  <si>
    <t>Implementar persistencia de carrito para usuarios invitados</t>
  </si>
  <si>
    <t>Implementar sincronización de carrito para usuarios registrados</t>
  </si>
  <si>
    <t>Probar escenarios de cerrar navegador y restauración de carrito</t>
  </si>
  <si>
    <t>Configurar credenciales de Transbank Webpay Plus en sandbox</t>
  </si>
  <si>
    <t>Implementar endpoint que cree transacción en Webpay</t>
  </si>
  <si>
    <t>Integrar botón "Pagar" para redirigir a Webpay</t>
  </si>
  <si>
    <t>Implementar endpoint de retorno/callback desde Webpay</t>
  </si>
  <si>
    <t>Crear pantalla de "Compra realizada" en frontend</t>
  </si>
  <si>
    <t>Probar flujos de pago exitoso y cancelado desde sandbox</t>
  </si>
  <si>
    <t>Conectar confirmación de pago con funciones de confirm_sale()</t>
  </si>
  <si>
    <t>Registrar movimientos de stock finales en InventoryMovement</t>
  </si>
  <si>
    <t>Probar casos de compras concurrentes</t>
  </si>
  <si>
    <t>Implementar manejo de estados "Fallida/Cancelada" en orden</t>
  </si>
  <si>
    <t>Agregar botón "Reintentar pago" en detalle de orden</t>
  </si>
  <si>
    <t>Liberar stock reservado en fallos y probar reintentos</t>
  </si>
  <si>
    <t>Diseñar plantilla de correo de confirmación</t>
  </si>
  <si>
    <t>Integrar envío de correo en flujo de confirmación de pago</t>
  </si>
  <si>
    <t>Probar envíos reales y simulados verificando datos</t>
  </si>
  <si>
    <t>E5-HU6</t>
  </si>
  <si>
    <t>Implementar AuditMiddleware para registrar acciones</t>
  </si>
  <si>
    <t>Crear modelo y vista en Django Admin para bitácora</t>
  </si>
  <si>
    <t>Probar registro de eventos y validar bitácora</t>
  </si>
  <si>
    <t>E5-HU3</t>
  </si>
  <si>
    <t>Configurar almacenamiento de archivos media para imágenes</t>
  </si>
  <si>
    <t>Agregar campos de imagen en Django Admin de productos</t>
  </si>
  <si>
    <t>Probar subida, reemplazo y eliminación de imágenes</t>
  </si>
  <si>
    <t>Configurar listado de pedidos en Django Admin</t>
  </si>
  <si>
    <t>Agregar filtros por estado, fecha y buscador</t>
  </si>
  <si>
    <t>Validar filtros y búsquedas con distintas combinaciones</t>
  </si>
  <si>
    <t>E5-HU5</t>
  </si>
  <si>
    <t>Extender modelo de orden con estados logísticos adicionales</t>
  </si>
  <si>
    <t>Configurar control para cambiar estado logístico en Admin</t>
  </si>
  <si>
    <t>Probar cambios de estado en pedidos reales</t>
  </si>
  <si>
    <t>E5-HU7</t>
  </si>
  <si>
    <t>Crear IsAdminUser/permission class y middleware</t>
  </si>
  <si>
    <t>Aplicar permission class a endpoints administrativos</t>
  </si>
  <si>
    <t>Probar accesos con usuarios admin, clientes y no autenticados</t>
  </si>
  <si>
    <t>E8-HU5</t>
  </si>
  <si>
    <t>Implementar endpoint REST de listado de órdenes del cliente</t>
  </si>
  <si>
    <t>Crear pantalla "Mis pedidos" en frontend</t>
  </si>
  <si>
    <t>Probar distintos usuarios con varios pedidos</t>
  </si>
  <si>
    <t>E7-HU1</t>
  </si>
  <si>
    <t>Completar y organizar suites de pruebas unitarias e integradas</t>
  </si>
  <si>
    <t>Integrar ejecución de tests en flujo de desarrollo</t>
  </si>
  <si>
    <t>Probar flujo completo catálogo → checkout → Webpay → confirmación</t>
  </si>
  <si>
    <t>Revisar componentes agregando atributos ARIA y navegación con teclado</t>
  </si>
  <si>
    <t>Validar tamaño y contraste de textos y botones</t>
  </si>
  <si>
    <t>Documentar checklist aplicado en documentación del proyecto</t>
  </si>
  <si>
    <t>Redactar documento de despliegue con checklist pre-deploy</t>
  </si>
  <si>
    <t>Integrar en README instrucciones para levantar proyecto</t>
  </si>
  <si>
    <t>Probar procedimiento simulando despliegue completo</t>
  </si>
  <si>
    <t>Recolectar capturas de pantalla clave</t>
  </si>
  <si>
    <t>Extraer métricas básicas desde logs</t>
  </si>
  <si>
    <t>Armar documento de evidencias para informe final</t>
  </si>
  <si>
    <t>Diseñar plantilla simple de retrospectiva</t>
  </si>
  <si>
    <t>Completar retrospectiva final del proyecto</t>
  </si>
  <si>
    <t>Incorporar conclusiones en informe para defensa</t>
  </si>
  <si>
    <t>SPRINT 1</t>
  </si>
  <si>
    <t>SPRINT 3</t>
  </si>
  <si>
    <t>SPRINT 4</t>
  </si>
  <si>
    <t>SPRINT 5</t>
  </si>
  <si>
    <t>SPRINT 6</t>
  </si>
  <si>
    <t>SPRINT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</si>
</sst>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wrapText="1"/>
    </xf>
    <xf numFmtId="0" fontId="0" fillId="3" borderId="3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AD6D-B9CE-45C0-BCAA-9DC628A06559}">
  <dimension ref="B2:H28"/>
  <sheetViews>
    <sheetView topLeftCell="A21" workbookViewId="0">
      <selection activeCell="B2" sqref="B2:H27"/>
    </sheetView>
  </sheetViews>
  <sheetFormatPr baseColWidth="10" defaultRowHeight="15" x14ac:dyDescent="0.25"/>
  <cols>
    <col min="3" max="3" width="20.85546875" customWidth="1"/>
    <col min="4" max="4" width="16.85546875" customWidth="1"/>
    <col min="5" max="5" width="17.85546875" customWidth="1"/>
    <col min="6" max="6" width="16.7109375" customWidth="1"/>
  </cols>
  <sheetData>
    <row r="2" spans="2:8" x14ac:dyDescent="0.25">
      <c r="B2" s="6" t="s">
        <v>194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2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60" x14ac:dyDescent="0.25">
      <c r="B4" s="1" t="s">
        <v>20</v>
      </c>
      <c r="C4" s="1" t="s">
        <v>39</v>
      </c>
      <c r="D4" s="1" t="s">
        <v>30</v>
      </c>
      <c r="E4" s="1">
        <v>4</v>
      </c>
      <c r="F4" s="1">
        <v>4</v>
      </c>
      <c r="G4" s="1" t="s">
        <v>32</v>
      </c>
      <c r="H4" s="1" t="s">
        <v>8</v>
      </c>
    </row>
    <row r="5" spans="2:8" ht="45" x14ac:dyDescent="0.25">
      <c r="B5" s="1" t="s">
        <v>20</v>
      </c>
      <c r="C5" s="1" t="s">
        <v>40</v>
      </c>
      <c r="D5" s="1" t="s">
        <v>31</v>
      </c>
      <c r="E5" s="1">
        <v>3</v>
      </c>
      <c r="F5" s="1">
        <v>3</v>
      </c>
      <c r="G5" s="1" t="s">
        <v>32</v>
      </c>
      <c r="H5" s="1" t="s">
        <v>8</v>
      </c>
    </row>
    <row r="6" spans="2:8" ht="45" x14ac:dyDescent="0.25">
      <c r="B6" s="1" t="s">
        <v>20</v>
      </c>
      <c r="C6" s="1" t="s">
        <v>41</v>
      </c>
      <c r="D6" s="1" t="s">
        <v>42</v>
      </c>
      <c r="E6" s="1">
        <v>2</v>
      </c>
      <c r="F6" s="1">
        <v>2</v>
      </c>
      <c r="G6" s="1" t="s">
        <v>32</v>
      </c>
      <c r="H6" s="1" t="s">
        <v>8</v>
      </c>
    </row>
    <row r="7" spans="2:8" ht="60" x14ac:dyDescent="0.25">
      <c r="B7" s="1" t="s">
        <v>43</v>
      </c>
      <c r="C7" s="1" t="s">
        <v>44</v>
      </c>
      <c r="D7" s="1" t="s">
        <v>30</v>
      </c>
      <c r="E7" s="1">
        <v>4</v>
      </c>
      <c r="F7" s="1">
        <v>5</v>
      </c>
      <c r="G7" s="1" t="s">
        <v>32</v>
      </c>
      <c r="H7" s="1" t="s">
        <v>8</v>
      </c>
    </row>
    <row r="8" spans="2:8" ht="75" x14ac:dyDescent="0.25">
      <c r="B8" s="1" t="s">
        <v>43</v>
      </c>
      <c r="C8" s="1" t="s">
        <v>45</v>
      </c>
      <c r="D8" s="1" t="s">
        <v>31</v>
      </c>
      <c r="E8" s="1">
        <v>3</v>
      </c>
      <c r="F8" s="1">
        <v>3</v>
      </c>
      <c r="G8" s="1" t="s">
        <v>32</v>
      </c>
      <c r="H8" s="1" t="s">
        <v>8</v>
      </c>
    </row>
    <row r="9" spans="2:8" ht="45" x14ac:dyDescent="0.25">
      <c r="B9" s="1" t="s">
        <v>43</v>
      </c>
      <c r="C9" s="1" t="s">
        <v>46</v>
      </c>
      <c r="D9" s="1" t="s">
        <v>42</v>
      </c>
      <c r="E9" s="1">
        <v>3</v>
      </c>
      <c r="F9" s="1">
        <v>3</v>
      </c>
      <c r="G9" s="1" t="s">
        <v>32</v>
      </c>
      <c r="H9" s="1" t="s">
        <v>8</v>
      </c>
    </row>
    <row r="10" spans="2:8" ht="60" x14ac:dyDescent="0.25">
      <c r="B10" s="1" t="s">
        <v>47</v>
      </c>
      <c r="C10" s="1" t="s">
        <v>48</v>
      </c>
      <c r="D10" s="1" t="s">
        <v>30</v>
      </c>
      <c r="E10" s="1">
        <v>3</v>
      </c>
      <c r="F10" s="1">
        <v>3</v>
      </c>
      <c r="G10" s="1" t="s">
        <v>32</v>
      </c>
      <c r="H10" s="1" t="s">
        <v>10</v>
      </c>
    </row>
    <row r="11" spans="2:8" ht="45" x14ac:dyDescent="0.25">
      <c r="B11" s="1" t="s">
        <v>47</v>
      </c>
      <c r="C11" s="1" t="s">
        <v>49</v>
      </c>
      <c r="D11" s="1" t="s">
        <v>31</v>
      </c>
      <c r="E11" s="1">
        <v>3</v>
      </c>
      <c r="F11" s="1">
        <v>4</v>
      </c>
      <c r="G11" s="1" t="s">
        <v>32</v>
      </c>
      <c r="H11" s="1" t="s">
        <v>10</v>
      </c>
    </row>
    <row r="12" spans="2:8" ht="60" x14ac:dyDescent="0.25">
      <c r="B12" s="1" t="s">
        <v>47</v>
      </c>
      <c r="C12" s="1" t="s">
        <v>50</v>
      </c>
      <c r="D12" s="1" t="s">
        <v>42</v>
      </c>
      <c r="E12" s="1">
        <v>2</v>
      </c>
      <c r="F12" s="1">
        <v>2</v>
      </c>
      <c r="G12" s="1" t="s">
        <v>32</v>
      </c>
      <c r="H12" s="1" t="s">
        <v>10</v>
      </c>
    </row>
    <row r="13" spans="2:8" ht="45" x14ac:dyDescent="0.25">
      <c r="B13" s="1" t="s">
        <v>51</v>
      </c>
      <c r="C13" s="1" t="s">
        <v>52</v>
      </c>
      <c r="D13" s="1" t="s">
        <v>30</v>
      </c>
      <c r="E13" s="1">
        <v>4</v>
      </c>
      <c r="F13" s="1">
        <v>4</v>
      </c>
      <c r="G13" s="1" t="s">
        <v>32</v>
      </c>
      <c r="H13" s="1" t="s">
        <v>10</v>
      </c>
    </row>
    <row r="14" spans="2:8" ht="60" x14ac:dyDescent="0.25">
      <c r="B14" s="1" t="s">
        <v>51</v>
      </c>
      <c r="C14" s="1" t="s">
        <v>53</v>
      </c>
      <c r="D14" s="1" t="s">
        <v>31</v>
      </c>
      <c r="E14" s="1">
        <v>3</v>
      </c>
      <c r="F14" s="1">
        <v>4</v>
      </c>
      <c r="G14" s="1" t="s">
        <v>32</v>
      </c>
      <c r="H14" s="1" t="s">
        <v>10</v>
      </c>
    </row>
    <row r="15" spans="2:8" ht="45" x14ac:dyDescent="0.25">
      <c r="B15" s="1" t="s">
        <v>51</v>
      </c>
      <c r="C15" s="1" t="s">
        <v>54</v>
      </c>
      <c r="D15" s="1" t="s">
        <v>42</v>
      </c>
      <c r="E15" s="1">
        <v>3</v>
      </c>
      <c r="F15" s="1">
        <v>3</v>
      </c>
      <c r="G15" s="1" t="s">
        <v>32</v>
      </c>
      <c r="H15" s="1" t="s">
        <v>10</v>
      </c>
    </row>
    <row r="16" spans="2:8" ht="30" x14ac:dyDescent="0.25">
      <c r="B16" s="1" t="s">
        <v>55</v>
      </c>
      <c r="C16" s="1" t="s">
        <v>56</v>
      </c>
      <c r="D16" s="1" t="s">
        <v>31</v>
      </c>
      <c r="E16" s="1">
        <v>3</v>
      </c>
      <c r="F16" s="1">
        <v>3</v>
      </c>
      <c r="G16" s="1" t="s">
        <v>32</v>
      </c>
      <c r="H16" s="1" t="s">
        <v>8</v>
      </c>
    </row>
    <row r="17" spans="2:8" ht="60" x14ac:dyDescent="0.25">
      <c r="B17" s="1" t="s">
        <v>55</v>
      </c>
      <c r="C17" s="1" t="s">
        <v>57</v>
      </c>
      <c r="D17" s="1" t="s">
        <v>30</v>
      </c>
      <c r="E17" s="1">
        <v>3</v>
      </c>
      <c r="F17" s="1">
        <v>3</v>
      </c>
      <c r="G17" s="1" t="s">
        <v>32</v>
      </c>
      <c r="H17" s="1" t="s">
        <v>8</v>
      </c>
    </row>
    <row r="18" spans="2:8" ht="45" x14ac:dyDescent="0.25">
      <c r="B18" s="1" t="s">
        <v>55</v>
      </c>
      <c r="C18" s="1" t="s">
        <v>58</v>
      </c>
      <c r="D18" s="1" t="s">
        <v>42</v>
      </c>
      <c r="E18" s="1">
        <v>2</v>
      </c>
      <c r="F18" s="1">
        <v>2</v>
      </c>
      <c r="G18" s="1" t="s">
        <v>32</v>
      </c>
      <c r="H18" s="1" t="s">
        <v>8</v>
      </c>
    </row>
    <row r="19" spans="2:8" ht="45" x14ac:dyDescent="0.25">
      <c r="B19" s="1" t="s">
        <v>59</v>
      </c>
      <c r="C19" s="1" t="s">
        <v>60</v>
      </c>
      <c r="D19" s="1" t="s">
        <v>30</v>
      </c>
      <c r="E19" s="1">
        <v>3</v>
      </c>
      <c r="F19" s="1">
        <v>3</v>
      </c>
      <c r="G19" s="1" t="s">
        <v>32</v>
      </c>
      <c r="H19" s="1" t="s">
        <v>8</v>
      </c>
    </row>
    <row r="20" spans="2:8" ht="45" x14ac:dyDescent="0.25">
      <c r="B20" s="1" t="s">
        <v>59</v>
      </c>
      <c r="C20" s="1" t="s">
        <v>61</v>
      </c>
      <c r="D20" s="1" t="s">
        <v>31</v>
      </c>
      <c r="E20" s="1">
        <v>3</v>
      </c>
      <c r="F20" s="1">
        <v>3</v>
      </c>
      <c r="G20" s="1" t="s">
        <v>32</v>
      </c>
      <c r="H20" s="1" t="s">
        <v>8</v>
      </c>
    </row>
    <row r="21" spans="2:8" ht="45" x14ac:dyDescent="0.25">
      <c r="B21" s="1" t="s">
        <v>59</v>
      </c>
      <c r="C21" s="1" t="s">
        <v>62</v>
      </c>
      <c r="D21" s="1" t="s">
        <v>42</v>
      </c>
      <c r="E21" s="1">
        <v>2</v>
      </c>
      <c r="F21" s="1">
        <v>2</v>
      </c>
      <c r="G21" s="1" t="s">
        <v>32</v>
      </c>
      <c r="H21" s="1" t="s">
        <v>8</v>
      </c>
    </row>
    <row r="22" spans="2:8" ht="45" x14ac:dyDescent="0.25">
      <c r="B22" s="1" t="s">
        <v>24</v>
      </c>
      <c r="C22" s="1" t="s">
        <v>63</v>
      </c>
      <c r="D22" s="1" t="s">
        <v>30</v>
      </c>
      <c r="E22" s="1">
        <v>4</v>
      </c>
      <c r="F22" s="1">
        <v>4</v>
      </c>
      <c r="G22" s="1" t="s">
        <v>32</v>
      </c>
      <c r="H22" s="1" t="s">
        <v>10</v>
      </c>
    </row>
    <row r="23" spans="2:8" ht="45" x14ac:dyDescent="0.25">
      <c r="B23" s="1" t="s">
        <v>24</v>
      </c>
      <c r="C23" s="1" t="s">
        <v>64</v>
      </c>
      <c r="D23" s="1" t="s">
        <v>31</v>
      </c>
      <c r="E23" s="1">
        <v>4</v>
      </c>
      <c r="F23" s="1">
        <v>4</v>
      </c>
      <c r="G23" s="1" t="s">
        <v>32</v>
      </c>
      <c r="H23" s="1" t="s">
        <v>10</v>
      </c>
    </row>
    <row r="24" spans="2:8" ht="60" x14ac:dyDescent="0.25">
      <c r="B24" s="1" t="s">
        <v>24</v>
      </c>
      <c r="C24" s="1" t="s">
        <v>65</v>
      </c>
      <c r="D24" s="1" t="s">
        <v>42</v>
      </c>
      <c r="E24" s="1">
        <v>2</v>
      </c>
      <c r="F24" s="1">
        <v>2</v>
      </c>
      <c r="G24" s="1" t="s">
        <v>32</v>
      </c>
      <c r="H24" s="1" t="s">
        <v>10</v>
      </c>
    </row>
    <row r="25" spans="2:8" ht="30" x14ac:dyDescent="0.25">
      <c r="B25" s="1" t="s">
        <v>15</v>
      </c>
      <c r="C25" s="1" t="s">
        <v>66</v>
      </c>
      <c r="D25" s="1" t="s">
        <v>30</v>
      </c>
      <c r="E25" s="1">
        <v>4</v>
      </c>
      <c r="F25" s="1">
        <v>4</v>
      </c>
      <c r="G25" s="1" t="s">
        <v>32</v>
      </c>
      <c r="H25" s="1" t="s">
        <v>8</v>
      </c>
    </row>
    <row r="26" spans="2:8" ht="45" x14ac:dyDescent="0.25">
      <c r="B26" s="1" t="s">
        <v>15</v>
      </c>
      <c r="C26" s="1" t="s">
        <v>67</v>
      </c>
      <c r="D26" s="1" t="s">
        <v>31</v>
      </c>
      <c r="E26" s="1">
        <v>4</v>
      </c>
      <c r="F26" s="1">
        <v>4</v>
      </c>
      <c r="G26" s="1" t="s">
        <v>32</v>
      </c>
      <c r="H26" s="1" t="s">
        <v>8</v>
      </c>
    </row>
    <row r="27" spans="2:8" ht="30" x14ac:dyDescent="0.25">
      <c r="B27" s="1" t="s">
        <v>15</v>
      </c>
      <c r="C27" s="1" t="s">
        <v>68</v>
      </c>
      <c r="D27" s="1" t="s">
        <v>42</v>
      </c>
      <c r="E27" s="1">
        <v>2</v>
      </c>
      <c r="F27" s="1">
        <v>2</v>
      </c>
      <c r="G27" s="1" t="s">
        <v>32</v>
      </c>
      <c r="H27" s="1" t="s">
        <v>8</v>
      </c>
    </row>
    <row r="28" spans="2:8" x14ac:dyDescent="0.25">
      <c r="E28">
        <f>SUM(E4:E27)</f>
        <v>73</v>
      </c>
      <c r="F28">
        <f>SUM(F4:F27)</f>
        <v>76</v>
      </c>
    </row>
  </sheetData>
  <mergeCells count="1">
    <mergeCell ref="B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C16AB-F872-45DA-95EB-830C0A6ACAB5}">
  <dimension ref="B2:H27"/>
  <sheetViews>
    <sheetView topLeftCell="A12" workbookViewId="0">
      <selection activeCell="B2" sqref="B2:H21"/>
    </sheetView>
  </sheetViews>
  <sheetFormatPr baseColWidth="10" defaultRowHeight="15" x14ac:dyDescent="0.25"/>
  <cols>
    <col min="3" max="3" width="20.85546875" customWidth="1"/>
    <col min="4" max="4" width="17.28515625" customWidth="1"/>
    <col min="5" max="5" width="16.42578125" customWidth="1"/>
    <col min="6" max="6" width="18.28515625" customWidth="1"/>
  </cols>
  <sheetData>
    <row r="2" spans="2:8" x14ac:dyDescent="0.25">
      <c r="B2" s="6" t="s">
        <v>69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3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45" x14ac:dyDescent="0.25">
      <c r="B4" s="1" t="s">
        <v>13</v>
      </c>
      <c r="C4" s="1" t="s">
        <v>70</v>
      </c>
      <c r="D4" s="1" t="s">
        <v>30</v>
      </c>
      <c r="E4" s="1">
        <v>4</v>
      </c>
      <c r="F4" s="1">
        <v>5</v>
      </c>
      <c r="G4" s="1" t="s">
        <v>32</v>
      </c>
      <c r="H4" s="1" t="s">
        <v>8</v>
      </c>
    </row>
    <row r="5" spans="2:8" ht="42.75" customHeight="1" x14ac:dyDescent="0.25">
      <c r="B5" s="1" t="s">
        <v>13</v>
      </c>
      <c r="C5" s="1" t="s">
        <v>71</v>
      </c>
      <c r="D5" s="1" t="s">
        <v>31</v>
      </c>
      <c r="E5" s="1">
        <v>4</v>
      </c>
      <c r="F5" s="1">
        <v>5</v>
      </c>
      <c r="G5" s="1" t="s">
        <v>32</v>
      </c>
      <c r="H5" s="1" t="s">
        <v>8</v>
      </c>
    </row>
    <row r="6" spans="2:8" ht="48" customHeight="1" x14ac:dyDescent="0.25">
      <c r="B6" s="1" t="s">
        <v>13</v>
      </c>
      <c r="C6" s="1" t="s">
        <v>72</v>
      </c>
      <c r="D6" s="1" t="s">
        <v>42</v>
      </c>
      <c r="E6" s="1">
        <v>3</v>
      </c>
      <c r="F6" s="1">
        <v>4</v>
      </c>
      <c r="G6" s="1" t="s">
        <v>32</v>
      </c>
      <c r="H6" s="1" t="s">
        <v>8</v>
      </c>
    </row>
    <row r="7" spans="2:8" ht="86.25" customHeight="1" x14ac:dyDescent="0.25">
      <c r="B7" s="1" t="s">
        <v>73</v>
      </c>
      <c r="C7" s="1" t="s">
        <v>74</v>
      </c>
      <c r="D7" s="1" t="s">
        <v>30</v>
      </c>
      <c r="E7" s="1">
        <v>5</v>
      </c>
      <c r="F7" s="1">
        <v>5</v>
      </c>
      <c r="G7" s="1" t="s">
        <v>32</v>
      </c>
      <c r="H7" s="1" t="s">
        <v>8</v>
      </c>
    </row>
    <row r="8" spans="2:8" ht="60" x14ac:dyDescent="0.25">
      <c r="B8" s="1" t="s">
        <v>73</v>
      </c>
      <c r="C8" s="1" t="s">
        <v>75</v>
      </c>
      <c r="D8" s="1" t="s">
        <v>31</v>
      </c>
      <c r="E8" s="1">
        <v>4</v>
      </c>
      <c r="F8" s="1">
        <v>4</v>
      </c>
      <c r="G8" s="1" t="s">
        <v>32</v>
      </c>
      <c r="H8" s="1" t="s">
        <v>8</v>
      </c>
    </row>
    <row r="9" spans="2:8" ht="54.75" customHeight="1" x14ac:dyDescent="0.25">
      <c r="B9" s="1" t="s">
        <v>73</v>
      </c>
      <c r="C9" s="1" t="s">
        <v>76</v>
      </c>
      <c r="D9" s="1" t="s">
        <v>42</v>
      </c>
      <c r="E9" s="1">
        <v>4</v>
      </c>
      <c r="F9" s="1">
        <v>5</v>
      </c>
      <c r="G9" s="1" t="s">
        <v>32</v>
      </c>
      <c r="H9" s="1" t="s">
        <v>8</v>
      </c>
    </row>
    <row r="10" spans="2:8" ht="52.5" customHeight="1" x14ac:dyDescent="0.25">
      <c r="B10" s="1" t="s">
        <v>77</v>
      </c>
      <c r="C10" s="1" t="s">
        <v>78</v>
      </c>
      <c r="D10" s="1" t="s">
        <v>30</v>
      </c>
      <c r="E10" s="1">
        <v>4</v>
      </c>
      <c r="F10" s="1">
        <v>4</v>
      </c>
      <c r="G10" s="1" t="s">
        <v>32</v>
      </c>
      <c r="H10" s="1" t="s">
        <v>10</v>
      </c>
    </row>
    <row r="11" spans="2:8" ht="53.25" customHeight="1" x14ac:dyDescent="0.25">
      <c r="B11" s="1" t="s">
        <v>77</v>
      </c>
      <c r="C11" s="1" t="s">
        <v>79</v>
      </c>
      <c r="D11" s="1" t="s">
        <v>31</v>
      </c>
      <c r="E11" s="1">
        <v>4</v>
      </c>
      <c r="F11" s="1">
        <v>4</v>
      </c>
      <c r="G11" s="1" t="s">
        <v>32</v>
      </c>
      <c r="H11" s="1" t="s">
        <v>10</v>
      </c>
    </row>
    <row r="12" spans="2:8" ht="44.25" customHeight="1" x14ac:dyDescent="0.25">
      <c r="B12" s="1" t="s">
        <v>77</v>
      </c>
      <c r="C12" s="1" t="s">
        <v>80</v>
      </c>
      <c r="D12" s="1" t="s">
        <v>42</v>
      </c>
      <c r="E12" s="1">
        <v>3</v>
      </c>
      <c r="F12" s="1">
        <v>3</v>
      </c>
      <c r="G12" s="1" t="s">
        <v>32</v>
      </c>
      <c r="H12" s="1" t="s">
        <v>10</v>
      </c>
    </row>
    <row r="13" spans="2:8" ht="42" customHeight="1" x14ac:dyDescent="0.25">
      <c r="B13" s="1" t="s">
        <v>38</v>
      </c>
      <c r="C13" s="1" t="s">
        <v>81</v>
      </c>
      <c r="D13" s="1" t="s">
        <v>31</v>
      </c>
      <c r="E13" s="1">
        <v>4</v>
      </c>
      <c r="F13" s="1">
        <v>4</v>
      </c>
      <c r="G13" s="1" t="s">
        <v>32</v>
      </c>
      <c r="H13" s="1" t="s">
        <v>8</v>
      </c>
    </row>
    <row r="14" spans="2:8" ht="52.5" customHeight="1" x14ac:dyDescent="0.25">
      <c r="B14" s="1" t="s">
        <v>38</v>
      </c>
      <c r="C14" s="1" t="s">
        <v>82</v>
      </c>
      <c r="D14" s="1" t="s">
        <v>30</v>
      </c>
      <c r="E14" s="1">
        <v>4</v>
      </c>
      <c r="F14" s="1">
        <v>5</v>
      </c>
      <c r="G14" s="1" t="s">
        <v>32</v>
      </c>
      <c r="H14" s="1" t="s">
        <v>8</v>
      </c>
    </row>
    <row r="15" spans="2:8" ht="45" x14ac:dyDescent="0.25">
      <c r="B15" s="1" t="s">
        <v>38</v>
      </c>
      <c r="C15" s="1" t="s">
        <v>83</v>
      </c>
      <c r="D15" s="1" t="s">
        <v>42</v>
      </c>
      <c r="E15" s="1">
        <v>3</v>
      </c>
      <c r="F15" s="1">
        <v>3</v>
      </c>
      <c r="G15" s="1" t="s">
        <v>32</v>
      </c>
      <c r="H15" s="1" t="s">
        <v>8</v>
      </c>
    </row>
    <row r="16" spans="2:8" ht="60" x14ac:dyDescent="0.25">
      <c r="B16" s="1" t="s">
        <v>25</v>
      </c>
      <c r="C16" s="1" t="s">
        <v>84</v>
      </c>
      <c r="D16" s="1" t="s">
        <v>30</v>
      </c>
      <c r="E16" s="1">
        <v>4</v>
      </c>
      <c r="F16" s="1">
        <v>4</v>
      </c>
      <c r="G16" s="1" t="s">
        <v>32</v>
      </c>
      <c r="H16" s="1" t="s">
        <v>10</v>
      </c>
    </row>
    <row r="17" spans="2:8" ht="45" x14ac:dyDescent="0.25">
      <c r="B17" s="1" t="s">
        <v>25</v>
      </c>
      <c r="C17" s="1" t="s">
        <v>85</v>
      </c>
      <c r="D17" s="1" t="s">
        <v>31</v>
      </c>
      <c r="E17" s="1">
        <v>3</v>
      </c>
      <c r="F17" s="1">
        <v>3</v>
      </c>
      <c r="G17" s="1" t="s">
        <v>32</v>
      </c>
      <c r="H17" s="1" t="s">
        <v>10</v>
      </c>
    </row>
    <row r="18" spans="2:8" ht="45" x14ac:dyDescent="0.25">
      <c r="B18" s="1" t="s">
        <v>25</v>
      </c>
      <c r="C18" s="1" t="s">
        <v>86</v>
      </c>
      <c r="D18" s="1" t="s">
        <v>42</v>
      </c>
      <c r="E18" s="1">
        <v>3</v>
      </c>
      <c r="F18" s="1">
        <v>3</v>
      </c>
      <c r="G18" s="1" t="s">
        <v>32</v>
      </c>
      <c r="H18" s="1" t="s">
        <v>10</v>
      </c>
    </row>
    <row r="19" spans="2:8" ht="45" x14ac:dyDescent="0.25">
      <c r="B19" s="1" t="s">
        <v>16</v>
      </c>
      <c r="C19" s="1" t="s">
        <v>87</v>
      </c>
      <c r="D19" s="1" t="s">
        <v>30</v>
      </c>
      <c r="E19" s="1">
        <v>3</v>
      </c>
      <c r="F19" s="1">
        <v>3</v>
      </c>
      <c r="G19" s="1" t="s">
        <v>32</v>
      </c>
      <c r="H19" s="1" t="s">
        <v>10</v>
      </c>
    </row>
    <row r="20" spans="2:8" ht="45" x14ac:dyDescent="0.25">
      <c r="B20" s="1" t="s">
        <v>16</v>
      </c>
      <c r="C20" s="1" t="s">
        <v>88</v>
      </c>
      <c r="D20" s="1" t="s">
        <v>31</v>
      </c>
      <c r="E20" s="1">
        <v>4</v>
      </c>
      <c r="F20" s="1">
        <v>4</v>
      </c>
      <c r="G20" s="1" t="s">
        <v>32</v>
      </c>
      <c r="H20" s="1" t="s">
        <v>10</v>
      </c>
    </row>
    <row r="21" spans="2:8" ht="45" x14ac:dyDescent="0.25">
      <c r="B21" s="1" t="s">
        <v>16</v>
      </c>
      <c r="C21" s="1" t="s">
        <v>89</v>
      </c>
      <c r="D21" s="1" t="s">
        <v>42</v>
      </c>
      <c r="E21" s="1">
        <v>3</v>
      </c>
      <c r="F21" s="1">
        <v>3</v>
      </c>
      <c r="G21" s="1" t="s">
        <v>32</v>
      </c>
      <c r="H21" s="1" t="s">
        <v>10</v>
      </c>
    </row>
    <row r="22" spans="2:8" x14ac:dyDescent="0.25">
      <c r="B22" s="4"/>
      <c r="C22" s="4"/>
      <c r="D22" s="4"/>
      <c r="E22" s="4">
        <f>SUM(E4:E21)</f>
        <v>66</v>
      </c>
      <c r="F22" s="4">
        <f>SUM(F4:F21)</f>
        <v>71</v>
      </c>
      <c r="G22" s="4"/>
      <c r="H22" s="4"/>
    </row>
    <row r="23" spans="2:8" x14ac:dyDescent="0.25">
      <c r="B23" s="4"/>
      <c r="C23" s="4"/>
      <c r="D23" s="4"/>
      <c r="E23" s="4"/>
      <c r="F23" s="4"/>
      <c r="G23" s="4"/>
      <c r="H23" s="4"/>
    </row>
    <row r="24" spans="2:8" x14ac:dyDescent="0.25">
      <c r="B24" s="4"/>
      <c r="C24" s="4"/>
      <c r="D24" s="4"/>
      <c r="E24" s="4"/>
      <c r="F24" s="4"/>
      <c r="G24" s="4"/>
      <c r="H24" s="4"/>
    </row>
    <row r="25" spans="2:8" x14ac:dyDescent="0.25">
      <c r="B25" s="4"/>
      <c r="C25" s="4"/>
      <c r="D25" s="4"/>
      <c r="E25" s="4"/>
      <c r="F25" s="4"/>
      <c r="G25" s="4"/>
      <c r="H25" s="4"/>
    </row>
    <row r="26" spans="2:8" x14ac:dyDescent="0.25">
      <c r="B26" s="4"/>
      <c r="C26" s="4"/>
      <c r="D26" s="4"/>
      <c r="E26" s="4"/>
      <c r="F26" s="4"/>
      <c r="G26" s="4"/>
      <c r="H26" s="4"/>
    </row>
    <row r="27" spans="2:8" x14ac:dyDescent="0.25">
      <c r="B27" s="4"/>
      <c r="C27" s="4"/>
      <c r="D27" s="4"/>
      <c r="E27" s="4"/>
      <c r="F27" s="4"/>
      <c r="G27" s="4"/>
      <c r="H27" s="4"/>
    </row>
  </sheetData>
  <mergeCells count="1">
    <mergeCell ref="B2:H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8869-58C5-491D-95FB-9FA792E74B39}">
  <dimension ref="B2:H43"/>
  <sheetViews>
    <sheetView topLeftCell="A30" workbookViewId="0">
      <selection activeCell="B2" sqref="B2:H42"/>
    </sheetView>
  </sheetViews>
  <sheetFormatPr baseColWidth="10" defaultRowHeight="15" x14ac:dyDescent="0.25"/>
  <cols>
    <col min="3" max="3" width="24.5703125" customWidth="1"/>
    <col min="4" max="4" width="17.42578125" customWidth="1"/>
    <col min="5" max="5" width="16.28515625" customWidth="1"/>
    <col min="6" max="6" width="18.42578125" customWidth="1"/>
    <col min="7" max="7" width="14" customWidth="1"/>
  </cols>
  <sheetData>
    <row r="2" spans="2:8" x14ac:dyDescent="0.25">
      <c r="B2" s="6" t="s">
        <v>195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3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30" x14ac:dyDescent="0.25">
      <c r="B4" s="1" t="s">
        <v>7</v>
      </c>
      <c r="C4" s="1" t="s">
        <v>90</v>
      </c>
      <c r="D4" s="1" t="s">
        <v>30</v>
      </c>
      <c r="E4" s="1">
        <v>4</v>
      </c>
      <c r="F4" s="1">
        <v>5</v>
      </c>
      <c r="G4" s="1" t="s">
        <v>32</v>
      </c>
      <c r="H4" s="1" t="s">
        <v>10</v>
      </c>
    </row>
    <row r="5" spans="2:8" ht="45" x14ac:dyDescent="0.25">
      <c r="B5" s="1" t="s">
        <v>7</v>
      </c>
      <c r="C5" s="1" t="s">
        <v>91</v>
      </c>
      <c r="D5" s="1" t="s">
        <v>31</v>
      </c>
      <c r="E5" s="1">
        <v>4</v>
      </c>
      <c r="F5" s="1">
        <v>5</v>
      </c>
      <c r="G5" s="1" t="s">
        <v>32</v>
      </c>
      <c r="H5" s="1" t="s">
        <v>10</v>
      </c>
    </row>
    <row r="6" spans="2:8" ht="30" x14ac:dyDescent="0.25">
      <c r="B6" s="1" t="s">
        <v>7</v>
      </c>
      <c r="C6" s="1" t="s">
        <v>92</v>
      </c>
      <c r="D6" s="1" t="s">
        <v>42</v>
      </c>
      <c r="E6" s="1">
        <v>3</v>
      </c>
      <c r="F6" s="1">
        <v>3</v>
      </c>
      <c r="G6" s="1" t="s">
        <v>32</v>
      </c>
      <c r="H6" s="1" t="s">
        <v>10</v>
      </c>
    </row>
    <row r="7" spans="2:8" ht="30" x14ac:dyDescent="0.25">
      <c r="B7" s="1" t="s">
        <v>9</v>
      </c>
      <c r="C7" s="1" t="s">
        <v>93</v>
      </c>
      <c r="D7" s="1" t="s">
        <v>30</v>
      </c>
      <c r="E7" s="1">
        <v>2</v>
      </c>
      <c r="F7" s="1">
        <v>3</v>
      </c>
      <c r="G7" s="1" t="s">
        <v>32</v>
      </c>
      <c r="H7" s="1" t="s">
        <v>10</v>
      </c>
    </row>
    <row r="8" spans="2:8" ht="45" x14ac:dyDescent="0.25">
      <c r="B8" s="1" t="s">
        <v>9</v>
      </c>
      <c r="C8" s="1" t="s">
        <v>94</v>
      </c>
      <c r="D8" s="1" t="s">
        <v>31</v>
      </c>
      <c r="E8" s="1">
        <v>2</v>
      </c>
      <c r="F8" s="1">
        <v>4</v>
      </c>
      <c r="G8" s="1" t="s">
        <v>32</v>
      </c>
      <c r="H8" s="1" t="s">
        <v>10</v>
      </c>
    </row>
    <row r="9" spans="2:8" ht="30" x14ac:dyDescent="0.25">
      <c r="B9" s="1" t="s">
        <v>9</v>
      </c>
      <c r="C9" s="1" t="s">
        <v>95</v>
      </c>
      <c r="D9" s="1" t="s">
        <v>42</v>
      </c>
      <c r="E9" s="1">
        <v>2</v>
      </c>
      <c r="F9" s="1">
        <v>2</v>
      </c>
      <c r="G9" s="1" t="s">
        <v>32</v>
      </c>
      <c r="H9" s="1" t="s">
        <v>10</v>
      </c>
    </row>
    <row r="10" spans="2:8" ht="45" x14ac:dyDescent="0.25">
      <c r="B10" s="1" t="s">
        <v>96</v>
      </c>
      <c r="C10" s="1" t="s">
        <v>97</v>
      </c>
      <c r="D10" s="1" t="s">
        <v>30</v>
      </c>
      <c r="E10" s="1">
        <v>3</v>
      </c>
      <c r="F10" s="1">
        <v>5</v>
      </c>
      <c r="G10" s="1" t="s">
        <v>32</v>
      </c>
      <c r="H10" s="1" t="s">
        <v>10</v>
      </c>
    </row>
    <row r="11" spans="2:8" ht="28.5" customHeight="1" x14ac:dyDescent="0.25">
      <c r="B11" s="1" t="s">
        <v>96</v>
      </c>
      <c r="C11" s="1" t="s">
        <v>98</v>
      </c>
      <c r="D11" s="1" t="s">
        <v>31</v>
      </c>
      <c r="E11" s="1">
        <v>4</v>
      </c>
      <c r="F11" s="1">
        <v>5</v>
      </c>
      <c r="G11" s="1" t="s">
        <v>32</v>
      </c>
      <c r="H11" s="1" t="s">
        <v>10</v>
      </c>
    </row>
    <row r="12" spans="2:8" ht="30" x14ac:dyDescent="0.25">
      <c r="B12" s="1" t="s">
        <v>96</v>
      </c>
      <c r="C12" s="1" t="s">
        <v>99</v>
      </c>
      <c r="D12" s="1" t="s">
        <v>42</v>
      </c>
      <c r="E12" s="1">
        <v>2</v>
      </c>
      <c r="F12" s="1">
        <v>3</v>
      </c>
      <c r="G12" s="1" t="s">
        <v>32</v>
      </c>
      <c r="H12" s="1" t="s">
        <v>10</v>
      </c>
    </row>
    <row r="13" spans="2:8" ht="30" x14ac:dyDescent="0.25">
      <c r="B13" s="1" t="s">
        <v>100</v>
      </c>
      <c r="C13" s="1" t="s">
        <v>101</v>
      </c>
      <c r="D13" s="1" t="s">
        <v>30</v>
      </c>
      <c r="E13" s="1">
        <v>2</v>
      </c>
      <c r="F13" s="1">
        <v>3</v>
      </c>
      <c r="G13" s="1" t="s">
        <v>32</v>
      </c>
      <c r="H13" s="1" t="s">
        <v>10</v>
      </c>
    </row>
    <row r="14" spans="2:8" ht="45" x14ac:dyDescent="0.25">
      <c r="B14" s="1" t="s">
        <v>100</v>
      </c>
      <c r="C14" s="1" t="s">
        <v>102</v>
      </c>
      <c r="D14" s="1" t="s">
        <v>31</v>
      </c>
      <c r="E14" s="1">
        <v>3</v>
      </c>
      <c r="F14" s="1">
        <v>3</v>
      </c>
      <c r="G14" s="1" t="s">
        <v>32</v>
      </c>
      <c r="H14" s="1" t="s">
        <v>10</v>
      </c>
    </row>
    <row r="15" spans="2:8" ht="45" x14ac:dyDescent="0.25">
      <c r="B15" s="1" t="s">
        <v>100</v>
      </c>
      <c r="C15" s="1" t="s">
        <v>103</v>
      </c>
      <c r="D15" s="1" t="s">
        <v>42</v>
      </c>
      <c r="E15" s="1">
        <v>2</v>
      </c>
      <c r="F15" s="1">
        <v>3</v>
      </c>
      <c r="G15" s="1" t="s">
        <v>32</v>
      </c>
      <c r="H15" s="1" t="s">
        <v>10</v>
      </c>
    </row>
    <row r="16" spans="2:8" ht="30" x14ac:dyDescent="0.25">
      <c r="B16" s="1" t="s">
        <v>11</v>
      </c>
      <c r="C16" s="1" t="s">
        <v>104</v>
      </c>
      <c r="D16" s="1" t="s">
        <v>30</v>
      </c>
      <c r="E16" s="1">
        <v>3</v>
      </c>
      <c r="F16" s="1">
        <v>4</v>
      </c>
      <c r="G16" s="1" t="s">
        <v>32</v>
      </c>
      <c r="H16" s="1" t="s">
        <v>10</v>
      </c>
    </row>
    <row r="17" spans="2:8" ht="45" x14ac:dyDescent="0.25">
      <c r="B17" s="1" t="s">
        <v>11</v>
      </c>
      <c r="C17" s="1" t="s">
        <v>105</v>
      </c>
      <c r="D17" s="1" t="s">
        <v>31</v>
      </c>
      <c r="E17" s="1">
        <v>3</v>
      </c>
      <c r="F17" s="1">
        <v>2</v>
      </c>
      <c r="G17" s="1" t="s">
        <v>32</v>
      </c>
      <c r="H17" s="1" t="s">
        <v>10</v>
      </c>
    </row>
    <row r="18" spans="2:8" ht="45" x14ac:dyDescent="0.25">
      <c r="B18" s="1" t="s">
        <v>11</v>
      </c>
      <c r="C18" s="1" t="s">
        <v>106</v>
      </c>
      <c r="D18" s="1" t="s">
        <v>42</v>
      </c>
      <c r="E18" s="1">
        <v>2</v>
      </c>
      <c r="F18" s="1">
        <v>2</v>
      </c>
      <c r="G18" s="1" t="s">
        <v>32</v>
      </c>
      <c r="H18" s="1" t="s">
        <v>10</v>
      </c>
    </row>
    <row r="19" spans="2:8" ht="30" x14ac:dyDescent="0.25">
      <c r="B19" s="1" t="s">
        <v>12</v>
      </c>
      <c r="C19" s="1" t="s">
        <v>107</v>
      </c>
      <c r="D19" s="1" t="s">
        <v>30</v>
      </c>
      <c r="E19" s="1">
        <v>2</v>
      </c>
      <c r="F19" s="1">
        <v>2</v>
      </c>
      <c r="G19" s="1" t="s">
        <v>32</v>
      </c>
      <c r="H19" s="1" t="s">
        <v>10</v>
      </c>
    </row>
    <row r="20" spans="2:8" ht="45" x14ac:dyDescent="0.25">
      <c r="B20" s="1" t="s">
        <v>12</v>
      </c>
      <c r="C20" s="1" t="s">
        <v>108</v>
      </c>
      <c r="D20" s="1" t="s">
        <v>31</v>
      </c>
      <c r="E20" s="1">
        <v>2</v>
      </c>
      <c r="F20" s="1">
        <v>2</v>
      </c>
      <c r="G20" s="1" t="s">
        <v>32</v>
      </c>
      <c r="H20" s="1" t="s">
        <v>10</v>
      </c>
    </row>
    <row r="21" spans="2:8" ht="45" x14ac:dyDescent="0.25">
      <c r="B21" s="1" t="s">
        <v>12</v>
      </c>
      <c r="C21" s="1" t="s">
        <v>109</v>
      </c>
      <c r="D21" s="1" t="s">
        <v>42</v>
      </c>
      <c r="E21" s="1">
        <v>2</v>
      </c>
      <c r="F21" s="1">
        <v>2</v>
      </c>
      <c r="G21" s="1" t="s">
        <v>32</v>
      </c>
      <c r="H21" s="1" t="s">
        <v>10</v>
      </c>
    </row>
    <row r="22" spans="2:8" ht="30" x14ac:dyDescent="0.25">
      <c r="B22" s="1" t="s">
        <v>110</v>
      </c>
      <c r="C22" s="1" t="s">
        <v>111</v>
      </c>
      <c r="D22" s="1" t="s">
        <v>30</v>
      </c>
      <c r="E22" s="1">
        <v>2</v>
      </c>
      <c r="F22" s="1">
        <v>2</v>
      </c>
      <c r="G22" s="1" t="s">
        <v>32</v>
      </c>
      <c r="H22" s="1" t="s">
        <v>10</v>
      </c>
    </row>
    <row r="23" spans="2:8" ht="30" x14ac:dyDescent="0.25">
      <c r="B23" s="1" t="s">
        <v>110</v>
      </c>
      <c r="C23" s="1" t="s">
        <v>112</v>
      </c>
      <c r="D23" s="1" t="s">
        <v>31</v>
      </c>
      <c r="E23" s="1">
        <v>2</v>
      </c>
      <c r="F23" s="1">
        <v>2</v>
      </c>
      <c r="G23" s="1" t="s">
        <v>32</v>
      </c>
      <c r="H23" s="1" t="s">
        <v>10</v>
      </c>
    </row>
    <row r="24" spans="2:8" ht="30" x14ac:dyDescent="0.25">
      <c r="B24" s="1" t="s">
        <v>110</v>
      </c>
      <c r="C24" s="1" t="s">
        <v>113</v>
      </c>
      <c r="D24" s="1" t="s">
        <v>42</v>
      </c>
      <c r="E24" s="1">
        <v>2</v>
      </c>
      <c r="F24" s="1">
        <v>2</v>
      </c>
      <c r="G24" s="1" t="s">
        <v>32</v>
      </c>
      <c r="H24" s="1" t="s">
        <v>10</v>
      </c>
    </row>
    <row r="25" spans="2:8" ht="45" x14ac:dyDescent="0.25">
      <c r="B25" s="1" t="s">
        <v>114</v>
      </c>
      <c r="C25" s="1" t="s">
        <v>115</v>
      </c>
      <c r="D25" s="1" t="s">
        <v>30</v>
      </c>
      <c r="E25" s="1">
        <v>3</v>
      </c>
      <c r="F25" s="1">
        <v>2</v>
      </c>
      <c r="G25" s="1" t="s">
        <v>32</v>
      </c>
      <c r="H25" s="1" t="s">
        <v>8</v>
      </c>
    </row>
    <row r="26" spans="2:8" ht="30" x14ac:dyDescent="0.25">
      <c r="B26" s="1" t="s">
        <v>114</v>
      </c>
      <c r="C26" s="1" t="s">
        <v>116</v>
      </c>
      <c r="D26" s="1" t="s">
        <v>31</v>
      </c>
      <c r="E26" s="1">
        <v>3</v>
      </c>
      <c r="F26" s="1">
        <v>2</v>
      </c>
      <c r="G26" s="1" t="s">
        <v>32</v>
      </c>
      <c r="H26" s="1" t="s">
        <v>8</v>
      </c>
    </row>
    <row r="27" spans="2:8" ht="45" x14ac:dyDescent="0.25">
      <c r="B27" s="1" t="s">
        <v>114</v>
      </c>
      <c r="C27" s="1" t="s">
        <v>117</v>
      </c>
      <c r="D27" s="1" t="s">
        <v>42</v>
      </c>
      <c r="E27" s="1">
        <v>3</v>
      </c>
      <c r="F27" s="1">
        <v>2</v>
      </c>
      <c r="G27" s="1" t="s">
        <v>32</v>
      </c>
      <c r="H27" s="1" t="s">
        <v>8</v>
      </c>
    </row>
    <row r="28" spans="2:8" ht="30" x14ac:dyDescent="0.25">
      <c r="B28" s="1" t="s">
        <v>21</v>
      </c>
      <c r="C28" s="1" t="s">
        <v>118</v>
      </c>
      <c r="D28" s="1" t="s">
        <v>30</v>
      </c>
      <c r="E28" s="1">
        <v>3</v>
      </c>
      <c r="F28" s="1">
        <v>2</v>
      </c>
      <c r="G28" s="1" t="s">
        <v>32</v>
      </c>
      <c r="H28" s="1" t="s">
        <v>8</v>
      </c>
    </row>
    <row r="29" spans="2:8" ht="30" x14ac:dyDescent="0.25">
      <c r="B29" s="1" t="s">
        <v>21</v>
      </c>
      <c r="C29" s="1" t="s">
        <v>119</v>
      </c>
      <c r="D29" s="1" t="s">
        <v>31</v>
      </c>
      <c r="E29" s="1">
        <v>3</v>
      </c>
      <c r="F29" s="1">
        <v>1</v>
      </c>
      <c r="G29" s="1" t="s">
        <v>32</v>
      </c>
      <c r="H29" s="1" t="s">
        <v>8</v>
      </c>
    </row>
    <row r="30" spans="2:8" ht="30" x14ac:dyDescent="0.25">
      <c r="B30" s="1" t="s">
        <v>21</v>
      </c>
      <c r="C30" s="1" t="s">
        <v>120</v>
      </c>
      <c r="D30" s="1" t="s">
        <v>42</v>
      </c>
      <c r="E30" s="1">
        <v>2</v>
      </c>
      <c r="F30" s="1">
        <v>2</v>
      </c>
      <c r="G30" s="1" t="s">
        <v>32</v>
      </c>
      <c r="H30" s="1" t="s">
        <v>8</v>
      </c>
    </row>
    <row r="31" spans="2:8" ht="45" x14ac:dyDescent="0.25">
      <c r="B31" s="1" t="s">
        <v>22</v>
      </c>
      <c r="C31" s="1" t="s">
        <v>121</v>
      </c>
      <c r="D31" s="1" t="s">
        <v>30</v>
      </c>
      <c r="E31" s="1">
        <v>2</v>
      </c>
      <c r="F31" s="1">
        <v>3</v>
      </c>
      <c r="G31" s="1" t="s">
        <v>32</v>
      </c>
      <c r="H31" s="1" t="s">
        <v>8</v>
      </c>
    </row>
    <row r="32" spans="2:8" ht="45" x14ac:dyDescent="0.25">
      <c r="B32" s="1" t="s">
        <v>22</v>
      </c>
      <c r="C32" s="1" t="s">
        <v>122</v>
      </c>
      <c r="D32" s="1" t="s">
        <v>31</v>
      </c>
      <c r="E32" s="1">
        <v>2</v>
      </c>
      <c r="F32" s="1">
        <v>2</v>
      </c>
      <c r="G32" s="1" t="s">
        <v>32</v>
      </c>
      <c r="H32" s="1" t="s">
        <v>8</v>
      </c>
    </row>
    <row r="33" spans="2:8" ht="30" x14ac:dyDescent="0.25">
      <c r="B33" s="1" t="s">
        <v>22</v>
      </c>
      <c r="C33" s="1" t="s">
        <v>123</v>
      </c>
      <c r="D33" s="1" t="s">
        <v>42</v>
      </c>
      <c r="E33" s="1">
        <v>2</v>
      </c>
      <c r="F33" s="1">
        <v>2</v>
      </c>
      <c r="G33" s="1" t="s">
        <v>32</v>
      </c>
      <c r="H33" s="1" t="s">
        <v>8</v>
      </c>
    </row>
    <row r="34" spans="2:8" ht="45" x14ac:dyDescent="0.25">
      <c r="B34" s="1" t="s">
        <v>124</v>
      </c>
      <c r="C34" s="1" t="s">
        <v>125</v>
      </c>
      <c r="D34" s="1" t="s">
        <v>30</v>
      </c>
      <c r="E34" s="1">
        <v>2</v>
      </c>
      <c r="F34" s="1">
        <v>2</v>
      </c>
      <c r="G34" s="1" t="s">
        <v>32</v>
      </c>
      <c r="H34" s="1" t="s">
        <v>10</v>
      </c>
    </row>
    <row r="35" spans="2:8" ht="45" x14ac:dyDescent="0.25">
      <c r="B35" s="1" t="s">
        <v>124</v>
      </c>
      <c r="C35" s="1" t="s">
        <v>126</v>
      </c>
      <c r="D35" s="1" t="s">
        <v>31</v>
      </c>
      <c r="E35" s="1">
        <v>2</v>
      </c>
      <c r="F35" s="1">
        <v>2</v>
      </c>
      <c r="G35" s="1" t="s">
        <v>32</v>
      </c>
      <c r="H35" s="1" t="s">
        <v>10</v>
      </c>
    </row>
    <row r="36" spans="2:8" ht="45" x14ac:dyDescent="0.25">
      <c r="B36" s="1" t="s">
        <v>124</v>
      </c>
      <c r="C36" s="1" t="s">
        <v>127</v>
      </c>
      <c r="D36" s="1" t="s">
        <v>42</v>
      </c>
      <c r="E36" s="1">
        <v>2</v>
      </c>
      <c r="F36" s="1">
        <v>1</v>
      </c>
      <c r="G36" s="1" t="s">
        <v>32</v>
      </c>
      <c r="H36" s="1" t="s">
        <v>10</v>
      </c>
    </row>
    <row r="37" spans="2:8" ht="30" x14ac:dyDescent="0.25">
      <c r="B37" s="1" t="s">
        <v>17</v>
      </c>
      <c r="C37" s="1" t="s">
        <v>128</v>
      </c>
      <c r="D37" s="1" t="s">
        <v>30</v>
      </c>
      <c r="E37" s="1">
        <v>2</v>
      </c>
      <c r="F37" s="1">
        <v>3</v>
      </c>
      <c r="G37" s="1" t="s">
        <v>32</v>
      </c>
      <c r="H37" s="1" t="s">
        <v>8</v>
      </c>
    </row>
    <row r="38" spans="2:8" ht="30" x14ac:dyDescent="0.25">
      <c r="B38" s="1" t="s">
        <v>17</v>
      </c>
      <c r="C38" s="1" t="s">
        <v>129</v>
      </c>
      <c r="D38" s="1" t="s">
        <v>31</v>
      </c>
      <c r="E38" s="1">
        <v>3</v>
      </c>
      <c r="F38" s="1">
        <v>2</v>
      </c>
      <c r="G38" s="1" t="s">
        <v>32</v>
      </c>
      <c r="H38" s="1" t="s">
        <v>8</v>
      </c>
    </row>
    <row r="39" spans="2:8" ht="45" x14ac:dyDescent="0.25">
      <c r="B39" s="1" t="s">
        <v>17</v>
      </c>
      <c r="C39" s="1" t="s">
        <v>130</v>
      </c>
      <c r="D39" s="1" t="s">
        <v>42</v>
      </c>
      <c r="E39" s="1">
        <v>2</v>
      </c>
      <c r="F39" s="1">
        <v>1</v>
      </c>
      <c r="G39" s="1" t="s">
        <v>32</v>
      </c>
      <c r="H39" s="1" t="s">
        <v>8</v>
      </c>
    </row>
    <row r="40" spans="2:8" ht="30" x14ac:dyDescent="0.25">
      <c r="B40" s="1" t="s">
        <v>33</v>
      </c>
      <c r="C40" s="1" t="s">
        <v>131</v>
      </c>
      <c r="D40" s="1" t="s">
        <v>30</v>
      </c>
      <c r="E40" s="1">
        <v>3</v>
      </c>
      <c r="F40" s="1">
        <v>2</v>
      </c>
      <c r="G40" s="1" t="s">
        <v>32</v>
      </c>
      <c r="H40" s="1" t="s">
        <v>8</v>
      </c>
    </row>
    <row r="41" spans="2:8" ht="30" x14ac:dyDescent="0.25">
      <c r="B41" s="1" t="s">
        <v>33</v>
      </c>
      <c r="C41" s="1" t="s">
        <v>132</v>
      </c>
      <c r="D41" s="1" t="s">
        <v>31</v>
      </c>
      <c r="E41" s="1">
        <v>4</v>
      </c>
      <c r="F41" s="1">
        <v>3</v>
      </c>
      <c r="G41" s="1" t="s">
        <v>32</v>
      </c>
      <c r="H41" s="1" t="s">
        <v>8</v>
      </c>
    </row>
    <row r="42" spans="2:8" ht="30" x14ac:dyDescent="0.25">
      <c r="B42" s="1" t="s">
        <v>33</v>
      </c>
      <c r="C42" s="1" t="s">
        <v>133</v>
      </c>
      <c r="D42" s="1" t="s">
        <v>42</v>
      </c>
      <c r="E42" s="1">
        <v>2</v>
      </c>
      <c r="F42" s="1">
        <v>2</v>
      </c>
      <c r="G42" s="1" t="s">
        <v>32</v>
      </c>
      <c r="H42" s="1" t="s">
        <v>8</v>
      </c>
    </row>
    <row r="43" spans="2:8" x14ac:dyDescent="0.25">
      <c r="E43">
        <f>SUM(E4:E42)</f>
        <v>98</v>
      </c>
      <c r="F43">
        <f>SUM(F4:F42)</f>
        <v>100</v>
      </c>
    </row>
  </sheetData>
  <mergeCells count="1">
    <mergeCell ref="B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0B20-5C0C-4373-9C93-9F5ACAE5D538}">
  <dimension ref="B2:H16"/>
  <sheetViews>
    <sheetView topLeftCell="A5" workbookViewId="0">
      <selection activeCell="B2" sqref="B2:H15"/>
    </sheetView>
  </sheetViews>
  <sheetFormatPr baseColWidth="10" defaultRowHeight="15" x14ac:dyDescent="0.25"/>
  <cols>
    <col min="3" max="3" width="28.5703125" customWidth="1"/>
    <col min="4" max="4" width="15" customWidth="1"/>
    <col min="5" max="5" width="20.5703125" customWidth="1"/>
    <col min="6" max="6" width="17.85546875" customWidth="1"/>
  </cols>
  <sheetData>
    <row r="2" spans="2:8" x14ac:dyDescent="0.25">
      <c r="B2" s="6" t="s">
        <v>196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2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54.75" customHeight="1" x14ac:dyDescent="0.25">
      <c r="B4" s="1" t="s">
        <v>23</v>
      </c>
      <c r="C4" s="1" t="s">
        <v>134</v>
      </c>
      <c r="D4" s="1" t="s">
        <v>30</v>
      </c>
      <c r="E4" s="1">
        <v>4</v>
      </c>
      <c r="F4" s="1">
        <v>3</v>
      </c>
      <c r="G4" s="1" t="s">
        <v>32</v>
      </c>
      <c r="H4" s="1" t="s">
        <v>8</v>
      </c>
    </row>
    <row r="5" spans="2:8" ht="63.75" customHeight="1" x14ac:dyDescent="0.25">
      <c r="B5" s="1" t="s">
        <v>23</v>
      </c>
      <c r="C5" s="1" t="s">
        <v>135</v>
      </c>
      <c r="D5" s="1" t="s">
        <v>31</v>
      </c>
      <c r="E5" s="1">
        <v>4</v>
      </c>
      <c r="F5" s="1">
        <v>4</v>
      </c>
      <c r="G5" s="1" t="s">
        <v>32</v>
      </c>
      <c r="H5" s="1" t="s">
        <v>8</v>
      </c>
    </row>
    <row r="6" spans="2:8" ht="57" customHeight="1" x14ac:dyDescent="0.25">
      <c r="B6" s="1" t="s">
        <v>23</v>
      </c>
      <c r="C6" s="1" t="s">
        <v>136</v>
      </c>
      <c r="D6" s="1" t="s">
        <v>42</v>
      </c>
      <c r="E6" s="1">
        <v>3</v>
      </c>
      <c r="F6" s="1">
        <v>3</v>
      </c>
      <c r="G6" s="1" t="s">
        <v>32</v>
      </c>
      <c r="H6" s="1" t="s">
        <v>8</v>
      </c>
    </row>
    <row r="7" spans="2:8" ht="54" customHeight="1" x14ac:dyDescent="0.25">
      <c r="B7" s="1" t="s">
        <v>14</v>
      </c>
      <c r="C7" s="1" t="s">
        <v>137</v>
      </c>
      <c r="D7" s="1" t="s">
        <v>30</v>
      </c>
      <c r="E7" s="1">
        <v>4</v>
      </c>
      <c r="F7" s="1">
        <v>5</v>
      </c>
      <c r="G7" s="1" t="s">
        <v>32</v>
      </c>
      <c r="H7" s="1" t="s">
        <v>10</v>
      </c>
    </row>
    <row r="8" spans="2:8" ht="50.25" customHeight="1" x14ac:dyDescent="0.25">
      <c r="B8" s="1" t="s">
        <v>14</v>
      </c>
      <c r="C8" s="1" t="s">
        <v>138</v>
      </c>
      <c r="D8" s="1" t="s">
        <v>31</v>
      </c>
      <c r="E8" s="1">
        <v>4</v>
      </c>
      <c r="F8" s="1">
        <v>4</v>
      </c>
      <c r="G8" s="1" t="s">
        <v>32</v>
      </c>
      <c r="H8" s="1" t="s">
        <v>10</v>
      </c>
    </row>
    <row r="9" spans="2:8" ht="51" customHeight="1" x14ac:dyDescent="0.25">
      <c r="B9" s="1" t="s">
        <v>14</v>
      </c>
      <c r="C9" s="1" t="s">
        <v>139</v>
      </c>
      <c r="D9" s="1" t="s">
        <v>42</v>
      </c>
      <c r="E9" s="1">
        <v>4</v>
      </c>
      <c r="F9" s="1">
        <v>3</v>
      </c>
      <c r="G9" s="1" t="s">
        <v>32</v>
      </c>
      <c r="H9" s="1" t="s">
        <v>10</v>
      </c>
    </row>
    <row r="10" spans="2:8" ht="45" x14ac:dyDescent="0.25">
      <c r="B10" s="1" t="s">
        <v>34</v>
      </c>
      <c r="C10" s="1" t="s">
        <v>140</v>
      </c>
      <c r="D10" s="1" t="s">
        <v>30</v>
      </c>
      <c r="E10" s="1">
        <v>4</v>
      </c>
      <c r="F10" s="1">
        <v>5</v>
      </c>
      <c r="G10" s="1" t="s">
        <v>32</v>
      </c>
      <c r="H10" s="1" t="s">
        <v>8</v>
      </c>
    </row>
    <row r="11" spans="2:8" ht="30" x14ac:dyDescent="0.25">
      <c r="B11" s="1" t="s">
        <v>34</v>
      </c>
      <c r="C11" s="1" t="s">
        <v>141</v>
      </c>
      <c r="D11" s="1" t="s">
        <v>31</v>
      </c>
      <c r="E11" s="1">
        <v>4</v>
      </c>
      <c r="F11" s="1">
        <v>6</v>
      </c>
      <c r="G11" s="1" t="s">
        <v>32</v>
      </c>
      <c r="H11" s="1" t="s">
        <v>8</v>
      </c>
    </row>
    <row r="12" spans="2:8" ht="30" x14ac:dyDescent="0.25">
      <c r="B12" s="1" t="s">
        <v>34</v>
      </c>
      <c r="C12" s="1" t="s">
        <v>142</v>
      </c>
      <c r="D12" s="1" t="s">
        <v>42</v>
      </c>
      <c r="E12" s="1">
        <v>3</v>
      </c>
      <c r="F12" s="1">
        <v>4</v>
      </c>
      <c r="G12" s="1" t="s">
        <v>32</v>
      </c>
      <c r="H12" s="1" t="s">
        <v>8</v>
      </c>
    </row>
    <row r="13" spans="2:8" ht="45" x14ac:dyDescent="0.25">
      <c r="B13" s="1" t="s">
        <v>35</v>
      </c>
      <c r="C13" s="1" t="s">
        <v>143</v>
      </c>
      <c r="D13" s="1" t="s">
        <v>30</v>
      </c>
      <c r="E13" s="1">
        <v>5</v>
      </c>
      <c r="F13" s="1">
        <v>6</v>
      </c>
      <c r="G13" s="1" t="s">
        <v>32</v>
      </c>
      <c r="H13" s="1" t="s">
        <v>8</v>
      </c>
    </row>
    <row r="14" spans="2:8" ht="30" x14ac:dyDescent="0.25">
      <c r="B14" s="1" t="s">
        <v>35</v>
      </c>
      <c r="C14" s="1" t="s">
        <v>144</v>
      </c>
      <c r="D14" s="1" t="s">
        <v>31</v>
      </c>
      <c r="E14" s="1">
        <v>3</v>
      </c>
      <c r="F14" s="1">
        <v>3</v>
      </c>
      <c r="G14" s="1" t="s">
        <v>32</v>
      </c>
      <c r="H14" s="1" t="s">
        <v>8</v>
      </c>
    </row>
    <row r="15" spans="2:8" ht="30" x14ac:dyDescent="0.25">
      <c r="B15" s="1" t="s">
        <v>35</v>
      </c>
      <c r="C15" s="1" t="s">
        <v>145</v>
      </c>
      <c r="D15" s="1" t="s">
        <v>42</v>
      </c>
      <c r="E15" s="1">
        <v>4</v>
      </c>
      <c r="F15" s="1">
        <v>3</v>
      </c>
      <c r="G15" s="1" t="s">
        <v>32</v>
      </c>
      <c r="H15" s="1" t="s">
        <v>8</v>
      </c>
    </row>
    <row r="16" spans="2:8" x14ac:dyDescent="0.25">
      <c r="E16">
        <f>SUM(E4:E15)</f>
        <v>46</v>
      </c>
      <c r="F16">
        <f>SUM(F4:F15)</f>
        <v>49</v>
      </c>
    </row>
  </sheetData>
  <mergeCells count="1">
    <mergeCell ref="B2:H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EE71-3FA8-43E2-8490-E4ED3E04166E}">
  <dimension ref="B2:H18"/>
  <sheetViews>
    <sheetView topLeftCell="A5" workbookViewId="0">
      <selection activeCell="B2" sqref="B2:H15"/>
    </sheetView>
  </sheetViews>
  <sheetFormatPr baseColWidth="10" defaultRowHeight="15" x14ac:dyDescent="0.25"/>
  <cols>
    <col min="3" max="3" width="22.5703125" customWidth="1"/>
    <col min="4" max="4" width="16.42578125" customWidth="1"/>
    <col min="5" max="5" width="16.85546875" customWidth="1"/>
    <col min="6" max="6" width="17.42578125" customWidth="1"/>
  </cols>
  <sheetData>
    <row r="2" spans="2:8" x14ac:dyDescent="0.25">
      <c r="B2" s="6" t="s">
        <v>197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2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45" x14ac:dyDescent="0.25">
      <c r="B4" s="1" t="s">
        <v>36</v>
      </c>
      <c r="C4" s="1" t="s">
        <v>146</v>
      </c>
      <c r="D4" s="1" t="s">
        <v>30</v>
      </c>
      <c r="E4" s="1">
        <v>4</v>
      </c>
      <c r="F4" s="1">
        <v>4</v>
      </c>
      <c r="G4" s="1" t="s">
        <v>32</v>
      </c>
      <c r="H4" s="1" t="s">
        <v>8</v>
      </c>
    </row>
    <row r="5" spans="2:8" ht="45" x14ac:dyDescent="0.25">
      <c r="B5" s="1" t="s">
        <v>36</v>
      </c>
      <c r="C5" s="1" t="s">
        <v>147</v>
      </c>
      <c r="D5" s="1" t="s">
        <v>31</v>
      </c>
      <c r="E5" s="1">
        <v>3</v>
      </c>
      <c r="F5" s="1">
        <v>3</v>
      </c>
      <c r="G5" s="1" t="s">
        <v>32</v>
      </c>
      <c r="H5" s="1" t="s">
        <v>8</v>
      </c>
    </row>
    <row r="6" spans="2:8" ht="30" x14ac:dyDescent="0.25">
      <c r="B6" s="1" t="s">
        <v>36</v>
      </c>
      <c r="C6" s="1" t="s">
        <v>148</v>
      </c>
      <c r="D6" s="1" t="s">
        <v>42</v>
      </c>
      <c r="E6" s="1">
        <v>4</v>
      </c>
      <c r="F6" s="1">
        <v>3</v>
      </c>
      <c r="G6" s="1" t="s">
        <v>32</v>
      </c>
      <c r="H6" s="1" t="s">
        <v>8</v>
      </c>
    </row>
    <row r="7" spans="2:8" ht="60" x14ac:dyDescent="0.25">
      <c r="B7" s="1" t="s">
        <v>37</v>
      </c>
      <c r="C7" s="1" t="s">
        <v>149</v>
      </c>
      <c r="D7" s="1" t="s">
        <v>30</v>
      </c>
      <c r="E7" s="1">
        <v>3</v>
      </c>
      <c r="F7" s="1">
        <v>3</v>
      </c>
      <c r="G7" s="1" t="s">
        <v>32</v>
      </c>
      <c r="H7" s="1" t="s">
        <v>8</v>
      </c>
    </row>
    <row r="8" spans="2:8" ht="45" x14ac:dyDescent="0.25">
      <c r="B8" s="1" t="s">
        <v>37</v>
      </c>
      <c r="C8" s="1" t="s">
        <v>150</v>
      </c>
      <c r="D8" s="1" t="s">
        <v>31</v>
      </c>
      <c r="E8" s="1">
        <v>4</v>
      </c>
      <c r="F8" s="1">
        <v>4</v>
      </c>
      <c r="G8" s="1" t="s">
        <v>32</v>
      </c>
      <c r="H8" s="1" t="s">
        <v>8</v>
      </c>
    </row>
    <row r="9" spans="2:8" ht="45" x14ac:dyDescent="0.25">
      <c r="B9" s="1" t="s">
        <v>37</v>
      </c>
      <c r="C9" s="1" t="s">
        <v>151</v>
      </c>
      <c r="D9" s="1" t="s">
        <v>42</v>
      </c>
      <c r="E9" s="1">
        <v>4</v>
      </c>
      <c r="F9" s="1">
        <v>5</v>
      </c>
      <c r="G9" s="1" t="s">
        <v>32</v>
      </c>
      <c r="H9" s="1" t="s">
        <v>8</v>
      </c>
    </row>
    <row r="10" spans="2:8" ht="30" x14ac:dyDescent="0.25">
      <c r="B10" s="1" t="s">
        <v>26</v>
      </c>
      <c r="C10" s="1" t="s">
        <v>152</v>
      </c>
      <c r="D10" s="1" t="s">
        <v>30</v>
      </c>
      <c r="E10" s="1">
        <v>3</v>
      </c>
      <c r="F10" s="1">
        <v>3</v>
      </c>
      <c r="G10" s="1" t="s">
        <v>32</v>
      </c>
      <c r="H10" s="1" t="s">
        <v>8</v>
      </c>
    </row>
    <row r="11" spans="2:8" ht="45" x14ac:dyDescent="0.25">
      <c r="B11" s="1" t="s">
        <v>26</v>
      </c>
      <c r="C11" s="1" t="s">
        <v>153</v>
      </c>
      <c r="D11" s="1" t="s">
        <v>31</v>
      </c>
      <c r="E11" s="1">
        <v>3</v>
      </c>
      <c r="F11" s="1">
        <v>4</v>
      </c>
      <c r="G11" s="1" t="s">
        <v>32</v>
      </c>
      <c r="H11" s="1" t="s">
        <v>8</v>
      </c>
    </row>
    <row r="12" spans="2:8" ht="45" x14ac:dyDescent="0.25">
      <c r="B12" s="1" t="s">
        <v>26</v>
      </c>
      <c r="C12" s="1" t="s">
        <v>154</v>
      </c>
      <c r="D12" s="1" t="s">
        <v>42</v>
      </c>
      <c r="E12" s="1">
        <v>3</v>
      </c>
      <c r="F12" s="1">
        <v>3</v>
      </c>
      <c r="G12" s="1" t="s">
        <v>32</v>
      </c>
      <c r="H12" s="1" t="s">
        <v>8</v>
      </c>
    </row>
    <row r="13" spans="2:8" ht="45" x14ac:dyDescent="0.25">
      <c r="B13" s="1" t="s">
        <v>155</v>
      </c>
      <c r="C13" s="1" t="s">
        <v>156</v>
      </c>
      <c r="D13" s="1" t="s">
        <v>30</v>
      </c>
      <c r="E13" s="1">
        <v>4</v>
      </c>
      <c r="F13" s="1">
        <v>5</v>
      </c>
      <c r="G13" s="1" t="s">
        <v>32</v>
      </c>
      <c r="H13" s="1" t="s">
        <v>10</v>
      </c>
    </row>
    <row r="14" spans="2:8" ht="45" x14ac:dyDescent="0.25">
      <c r="B14" s="1" t="s">
        <v>155</v>
      </c>
      <c r="C14" s="1" t="s">
        <v>157</v>
      </c>
      <c r="D14" s="1" t="s">
        <v>31</v>
      </c>
      <c r="E14" s="1">
        <v>4</v>
      </c>
      <c r="F14" s="1">
        <v>5</v>
      </c>
      <c r="G14" s="1" t="s">
        <v>32</v>
      </c>
      <c r="H14" s="1" t="s">
        <v>10</v>
      </c>
    </row>
    <row r="15" spans="2:8" ht="45" x14ac:dyDescent="0.25">
      <c r="B15" s="1" t="s">
        <v>155</v>
      </c>
      <c r="C15" s="1" t="s">
        <v>158</v>
      </c>
      <c r="D15" s="1" t="s">
        <v>42</v>
      </c>
      <c r="E15" s="1">
        <v>3</v>
      </c>
      <c r="F15" s="1">
        <v>3</v>
      </c>
      <c r="G15" s="1" t="s">
        <v>32</v>
      </c>
      <c r="H15" s="1" t="s">
        <v>10</v>
      </c>
    </row>
    <row r="16" spans="2:8" x14ac:dyDescent="0.25">
      <c r="B16" s="4"/>
      <c r="C16" s="4"/>
      <c r="D16" s="4"/>
      <c r="E16" s="4">
        <f>SUM(E4:E15)</f>
        <v>42</v>
      </c>
      <c r="F16" s="4">
        <f>SUM(F4:F15)</f>
        <v>45</v>
      </c>
      <c r="G16" s="4"/>
      <c r="H16" s="4"/>
    </row>
    <row r="17" spans="2:8" x14ac:dyDescent="0.25">
      <c r="B17" s="4"/>
      <c r="C17" s="4"/>
      <c r="D17" s="4"/>
      <c r="E17" s="4"/>
      <c r="F17" s="4"/>
      <c r="G17" s="4"/>
      <c r="H17" s="4"/>
    </row>
    <row r="18" spans="2:8" x14ac:dyDescent="0.25">
      <c r="B18" s="4"/>
      <c r="C18" s="4"/>
      <c r="D18" s="4"/>
      <c r="E18" s="4"/>
      <c r="F18" s="4"/>
      <c r="G18" s="4"/>
      <c r="H18" s="4"/>
    </row>
  </sheetData>
  <mergeCells count="1">
    <mergeCell ref="B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56BC-AAC7-4924-B3B7-8E6D7348D35F}">
  <dimension ref="B2:H19"/>
  <sheetViews>
    <sheetView topLeftCell="A6" workbookViewId="0">
      <selection activeCell="B2" sqref="B2:H18"/>
    </sheetView>
  </sheetViews>
  <sheetFormatPr baseColWidth="10" defaultRowHeight="15" x14ac:dyDescent="0.25"/>
  <cols>
    <col min="2" max="2" width="11.85546875" customWidth="1"/>
    <col min="3" max="3" width="24.85546875" customWidth="1"/>
    <col min="4" max="4" width="15.7109375" customWidth="1"/>
    <col min="5" max="6" width="17.140625" customWidth="1"/>
    <col min="7" max="7" width="12.7109375" customWidth="1"/>
  </cols>
  <sheetData>
    <row r="2" spans="2:8" x14ac:dyDescent="0.25">
      <c r="B2" s="6" t="s">
        <v>198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2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60" x14ac:dyDescent="0.25">
      <c r="B4" s="1" t="s">
        <v>159</v>
      </c>
      <c r="C4" s="1" t="s">
        <v>160</v>
      </c>
      <c r="D4" s="1" t="s">
        <v>30</v>
      </c>
      <c r="E4" s="1">
        <v>4</v>
      </c>
      <c r="F4" s="1">
        <v>4</v>
      </c>
      <c r="G4" s="1" t="s">
        <v>32</v>
      </c>
      <c r="H4" s="1" t="s">
        <v>10</v>
      </c>
    </row>
    <row r="5" spans="2:8" ht="45" x14ac:dyDescent="0.25">
      <c r="B5" s="1" t="s">
        <v>159</v>
      </c>
      <c r="C5" s="1" t="s">
        <v>161</v>
      </c>
      <c r="D5" s="1" t="s">
        <v>31</v>
      </c>
      <c r="E5" s="1">
        <v>3</v>
      </c>
      <c r="F5" s="1">
        <v>3</v>
      </c>
      <c r="G5" s="1" t="s">
        <v>32</v>
      </c>
      <c r="H5" s="1" t="s">
        <v>10</v>
      </c>
    </row>
    <row r="6" spans="2:8" ht="30" x14ac:dyDescent="0.25">
      <c r="B6" s="1" t="s">
        <v>159</v>
      </c>
      <c r="C6" s="1" t="s">
        <v>162</v>
      </c>
      <c r="D6" s="1" t="s">
        <v>42</v>
      </c>
      <c r="E6" s="1">
        <v>3</v>
      </c>
      <c r="F6" s="1">
        <v>3</v>
      </c>
      <c r="G6" s="1" t="s">
        <v>32</v>
      </c>
      <c r="H6" s="1" t="s">
        <v>10</v>
      </c>
    </row>
    <row r="7" spans="2:8" ht="30" x14ac:dyDescent="0.25">
      <c r="B7" s="1" t="s">
        <v>27</v>
      </c>
      <c r="C7" s="1" t="s">
        <v>163</v>
      </c>
      <c r="D7" s="1" t="s">
        <v>30</v>
      </c>
      <c r="E7" s="1">
        <v>3</v>
      </c>
      <c r="F7" s="1">
        <v>4</v>
      </c>
      <c r="G7" s="1" t="s">
        <v>32</v>
      </c>
      <c r="H7" s="1" t="s">
        <v>10</v>
      </c>
    </row>
    <row r="8" spans="2:8" ht="30" x14ac:dyDescent="0.25">
      <c r="B8" s="1" t="s">
        <v>27</v>
      </c>
      <c r="C8" s="1" t="s">
        <v>164</v>
      </c>
      <c r="D8" s="1" t="s">
        <v>31</v>
      </c>
      <c r="E8" s="1">
        <v>3</v>
      </c>
      <c r="F8" s="1">
        <v>4</v>
      </c>
      <c r="G8" s="1" t="s">
        <v>32</v>
      </c>
      <c r="H8" s="1" t="s">
        <v>10</v>
      </c>
    </row>
    <row r="9" spans="2:8" ht="45" x14ac:dyDescent="0.25">
      <c r="B9" s="1" t="s">
        <v>27</v>
      </c>
      <c r="C9" s="1" t="s">
        <v>165</v>
      </c>
      <c r="D9" s="1" t="s">
        <v>42</v>
      </c>
      <c r="E9" s="1">
        <v>3</v>
      </c>
      <c r="F9" s="1">
        <v>4</v>
      </c>
      <c r="G9" s="1" t="s">
        <v>32</v>
      </c>
      <c r="H9" s="1" t="s">
        <v>10</v>
      </c>
    </row>
    <row r="10" spans="2:8" ht="45" x14ac:dyDescent="0.25">
      <c r="B10" s="1" t="s">
        <v>166</v>
      </c>
      <c r="C10" s="1" t="s">
        <v>167</v>
      </c>
      <c r="D10" s="1" t="s">
        <v>30</v>
      </c>
      <c r="E10" s="1">
        <v>4</v>
      </c>
      <c r="F10" s="1">
        <v>4</v>
      </c>
      <c r="G10" s="1" t="s">
        <v>32</v>
      </c>
      <c r="H10" s="1" t="s">
        <v>10</v>
      </c>
    </row>
    <row r="11" spans="2:8" ht="45" x14ac:dyDescent="0.25">
      <c r="B11" s="1" t="s">
        <v>166</v>
      </c>
      <c r="C11" s="1" t="s">
        <v>168</v>
      </c>
      <c r="D11" s="1" t="s">
        <v>31</v>
      </c>
      <c r="E11" s="1">
        <v>3</v>
      </c>
      <c r="F11" s="1">
        <v>4</v>
      </c>
      <c r="G11" s="1" t="s">
        <v>32</v>
      </c>
      <c r="H11" s="1" t="s">
        <v>10</v>
      </c>
    </row>
    <row r="12" spans="2:8" ht="30" x14ac:dyDescent="0.25">
      <c r="B12" s="1" t="s">
        <v>166</v>
      </c>
      <c r="C12" s="1" t="s">
        <v>169</v>
      </c>
      <c r="D12" s="1" t="s">
        <v>42</v>
      </c>
      <c r="E12" s="1">
        <v>3</v>
      </c>
      <c r="F12" s="1">
        <v>4</v>
      </c>
      <c r="G12" s="1" t="s">
        <v>32</v>
      </c>
      <c r="H12" s="1" t="s">
        <v>10</v>
      </c>
    </row>
    <row r="13" spans="2:8" ht="45" x14ac:dyDescent="0.25">
      <c r="B13" s="1" t="s">
        <v>170</v>
      </c>
      <c r="C13" s="1" t="s">
        <v>171</v>
      </c>
      <c r="D13" s="1" t="s">
        <v>30</v>
      </c>
      <c r="E13" s="1">
        <v>4</v>
      </c>
      <c r="F13" s="1">
        <v>5</v>
      </c>
      <c r="G13" s="1" t="s">
        <v>32</v>
      </c>
      <c r="H13" s="1" t="s">
        <v>10</v>
      </c>
    </row>
    <row r="14" spans="2:8" ht="30" x14ac:dyDescent="0.25">
      <c r="B14" s="1" t="s">
        <v>170</v>
      </c>
      <c r="C14" s="1" t="s">
        <v>172</v>
      </c>
      <c r="D14" s="1" t="s">
        <v>31</v>
      </c>
      <c r="E14" s="1">
        <v>3</v>
      </c>
      <c r="F14" s="1">
        <v>4</v>
      </c>
      <c r="G14" s="1" t="s">
        <v>32</v>
      </c>
      <c r="H14" s="1" t="s">
        <v>10</v>
      </c>
    </row>
    <row r="15" spans="2:8" ht="45" x14ac:dyDescent="0.25">
      <c r="B15" s="1" t="s">
        <v>170</v>
      </c>
      <c r="C15" s="1" t="s">
        <v>173</v>
      </c>
      <c r="D15" s="1" t="s">
        <v>42</v>
      </c>
      <c r="E15" s="1">
        <v>3</v>
      </c>
      <c r="F15" s="1">
        <v>3</v>
      </c>
      <c r="G15" s="1" t="s">
        <v>32</v>
      </c>
      <c r="H15" s="1" t="s">
        <v>10</v>
      </c>
    </row>
    <row r="16" spans="2:8" ht="45" x14ac:dyDescent="0.25">
      <c r="B16" s="1" t="s">
        <v>174</v>
      </c>
      <c r="C16" s="1" t="s">
        <v>175</v>
      </c>
      <c r="D16" s="1" t="s">
        <v>30</v>
      </c>
      <c r="E16" s="1">
        <v>3</v>
      </c>
      <c r="F16" s="1">
        <v>3</v>
      </c>
      <c r="G16" s="1" t="s">
        <v>32</v>
      </c>
      <c r="H16" s="1" t="s">
        <v>10</v>
      </c>
    </row>
    <row r="17" spans="2:8" ht="30" x14ac:dyDescent="0.25">
      <c r="B17" s="1" t="s">
        <v>174</v>
      </c>
      <c r="C17" s="1" t="s">
        <v>176</v>
      </c>
      <c r="D17" s="1" t="s">
        <v>31</v>
      </c>
      <c r="E17" s="1">
        <v>4</v>
      </c>
      <c r="F17" s="1">
        <v>4</v>
      </c>
      <c r="G17" s="1" t="s">
        <v>32</v>
      </c>
      <c r="H17" s="1" t="s">
        <v>10</v>
      </c>
    </row>
    <row r="18" spans="2:8" ht="30" x14ac:dyDescent="0.25">
      <c r="B18" s="1" t="s">
        <v>174</v>
      </c>
      <c r="C18" s="1" t="s">
        <v>177</v>
      </c>
      <c r="D18" s="1" t="s">
        <v>42</v>
      </c>
      <c r="E18" s="1">
        <v>3</v>
      </c>
      <c r="F18" s="1">
        <v>3</v>
      </c>
      <c r="G18" s="1" t="s">
        <v>32</v>
      </c>
      <c r="H18" s="1" t="s">
        <v>10</v>
      </c>
    </row>
    <row r="19" spans="2:8" x14ac:dyDescent="0.25">
      <c r="E19">
        <f>SUM(E4:E18)</f>
        <v>49</v>
      </c>
      <c r="F19">
        <f>SUM(F4:F18)</f>
        <v>56</v>
      </c>
    </row>
  </sheetData>
  <mergeCells count="1">
    <mergeCell ref="B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EB3E6-0E61-484B-9484-26A05847286F}">
  <dimension ref="B2:H19"/>
  <sheetViews>
    <sheetView tabSelected="1" topLeftCell="A8" workbookViewId="0">
      <selection activeCell="B2" sqref="B2:H18"/>
    </sheetView>
  </sheetViews>
  <sheetFormatPr baseColWidth="10" defaultRowHeight="15" x14ac:dyDescent="0.25"/>
  <cols>
    <col min="3" max="3" width="22.85546875" customWidth="1"/>
    <col min="4" max="4" width="15.140625" customWidth="1"/>
    <col min="5" max="5" width="17" customWidth="1"/>
    <col min="6" max="6" width="17.140625" customWidth="1"/>
  </cols>
  <sheetData>
    <row r="2" spans="2:8" x14ac:dyDescent="0.25">
      <c r="B2" s="6" t="s">
        <v>199</v>
      </c>
      <c r="C2" s="7"/>
      <c r="D2" s="7"/>
      <c r="E2" s="7"/>
      <c r="F2" s="7"/>
      <c r="G2" s="7"/>
      <c r="H2" s="8"/>
    </row>
    <row r="3" spans="2:8" x14ac:dyDescent="0.25">
      <c r="B3" s="2" t="s">
        <v>0</v>
      </c>
      <c r="C3" s="2" t="s">
        <v>4</v>
      </c>
      <c r="D3" s="2" t="s">
        <v>1</v>
      </c>
      <c r="E3" s="5" t="s">
        <v>5</v>
      </c>
      <c r="F3" s="5" t="s">
        <v>6</v>
      </c>
      <c r="G3" s="2" t="s">
        <v>2</v>
      </c>
      <c r="H3" s="2" t="s">
        <v>3</v>
      </c>
    </row>
    <row r="4" spans="2:8" ht="45" x14ac:dyDescent="0.25">
      <c r="B4" s="1" t="s">
        <v>178</v>
      </c>
      <c r="C4" s="1" t="s">
        <v>179</v>
      </c>
      <c r="D4" s="1" t="s">
        <v>30</v>
      </c>
      <c r="E4" s="1">
        <v>5</v>
      </c>
      <c r="F4" s="1">
        <v>5</v>
      </c>
      <c r="G4" s="1" t="s">
        <v>32</v>
      </c>
      <c r="H4" s="1" t="s">
        <v>8</v>
      </c>
    </row>
    <row r="5" spans="2:8" ht="45" x14ac:dyDescent="0.25">
      <c r="B5" s="1" t="s">
        <v>178</v>
      </c>
      <c r="C5" s="1" t="s">
        <v>180</v>
      </c>
      <c r="D5" s="1" t="s">
        <v>31</v>
      </c>
      <c r="E5" s="1">
        <v>3</v>
      </c>
      <c r="F5" s="1">
        <v>3</v>
      </c>
      <c r="G5" s="1" t="s">
        <v>32</v>
      </c>
      <c r="H5" s="1" t="s">
        <v>8</v>
      </c>
    </row>
    <row r="6" spans="2:8" ht="45" x14ac:dyDescent="0.25">
      <c r="B6" s="1" t="s">
        <v>178</v>
      </c>
      <c r="C6" s="1" t="s">
        <v>181</v>
      </c>
      <c r="D6" s="1" t="s">
        <v>42</v>
      </c>
      <c r="E6" s="1">
        <v>4</v>
      </c>
      <c r="F6" s="1">
        <v>4</v>
      </c>
      <c r="G6" s="1" t="s">
        <v>32</v>
      </c>
      <c r="H6" s="1" t="s">
        <v>8</v>
      </c>
    </row>
    <row r="7" spans="2:8" ht="60" x14ac:dyDescent="0.25">
      <c r="B7" s="1" t="s">
        <v>18</v>
      </c>
      <c r="C7" s="1" t="s">
        <v>182</v>
      </c>
      <c r="D7" s="1" t="s">
        <v>30</v>
      </c>
      <c r="E7" s="1">
        <v>4</v>
      </c>
      <c r="F7" s="1">
        <v>4</v>
      </c>
      <c r="G7" s="1" t="s">
        <v>32</v>
      </c>
      <c r="H7" s="1" t="s">
        <v>10</v>
      </c>
    </row>
    <row r="8" spans="2:8" ht="45" x14ac:dyDescent="0.25">
      <c r="B8" s="1" t="s">
        <v>18</v>
      </c>
      <c r="C8" s="1" t="s">
        <v>183</v>
      </c>
      <c r="D8" s="1" t="s">
        <v>31</v>
      </c>
      <c r="E8" s="1">
        <v>3</v>
      </c>
      <c r="F8" s="1">
        <v>3</v>
      </c>
      <c r="G8" s="1" t="s">
        <v>32</v>
      </c>
      <c r="H8" s="1" t="s">
        <v>10</v>
      </c>
    </row>
    <row r="9" spans="2:8" ht="60" x14ac:dyDescent="0.25">
      <c r="B9" s="1" t="s">
        <v>18</v>
      </c>
      <c r="C9" s="1" t="s">
        <v>184</v>
      </c>
      <c r="D9" s="1" t="s">
        <v>42</v>
      </c>
      <c r="E9" s="1">
        <v>2</v>
      </c>
      <c r="F9" s="1">
        <v>2</v>
      </c>
      <c r="G9" s="1" t="s">
        <v>32</v>
      </c>
      <c r="H9" s="1" t="s">
        <v>10</v>
      </c>
    </row>
    <row r="10" spans="2:8" ht="45" x14ac:dyDescent="0.25">
      <c r="B10" s="1" t="s">
        <v>28</v>
      </c>
      <c r="C10" s="1" t="s">
        <v>185</v>
      </c>
      <c r="D10" s="1" t="s">
        <v>30</v>
      </c>
      <c r="E10" s="1">
        <v>4</v>
      </c>
      <c r="F10" s="1">
        <v>4</v>
      </c>
      <c r="G10" s="1" t="s">
        <v>32</v>
      </c>
      <c r="H10" s="1" t="s">
        <v>10</v>
      </c>
    </row>
    <row r="11" spans="2:8" ht="45" x14ac:dyDescent="0.25">
      <c r="B11" s="1" t="s">
        <v>28</v>
      </c>
      <c r="C11" s="1" t="s">
        <v>186</v>
      </c>
      <c r="D11" s="1" t="s">
        <v>31</v>
      </c>
      <c r="E11" s="1">
        <v>3</v>
      </c>
      <c r="F11" s="1">
        <v>3</v>
      </c>
      <c r="G11" s="1" t="s">
        <v>32</v>
      </c>
      <c r="H11" s="1" t="s">
        <v>10</v>
      </c>
    </row>
    <row r="12" spans="2:8" ht="45" x14ac:dyDescent="0.25">
      <c r="B12" s="1" t="s">
        <v>28</v>
      </c>
      <c r="C12" s="1" t="s">
        <v>187</v>
      </c>
      <c r="D12" s="1" t="s">
        <v>42</v>
      </c>
      <c r="E12" s="1">
        <v>3</v>
      </c>
      <c r="F12" s="1">
        <v>4</v>
      </c>
      <c r="G12" s="1" t="s">
        <v>32</v>
      </c>
      <c r="H12" s="1" t="s">
        <v>10</v>
      </c>
    </row>
    <row r="13" spans="2:8" ht="30" x14ac:dyDescent="0.25">
      <c r="B13" s="1" t="s">
        <v>29</v>
      </c>
      <c r="C13" s="1" t="s">
        <v>188</v>
      </c>
      <c r="D13" s="1" t="s">
        <v>30</v>
      </c>
      <c r="E13" s="1">
        <v>3</v>
      </c>
      <c r="F13" s="1">
        <v>3</v>
      </c>
      <c r="G13" s="1" t="s">
        <v>32</v>
      </c>
      <c r="H13" s="1" t="s">
        <v>10</v>
      </c>
    </row>
    <row r="14" spans="2:8" ht="30" x14ac:dyDescent="0.25">
      <c r="B14" s="1" t="s">
        <v>29</v>
      </c>
      <c r="C14" s="1" t="s">
        <v>189</v>
      </c>
      <c r="D14" s="1" t="s">
        <v>31</v>
      </c>
      <c r="E14" s="1">
        <v>3</v>
      </c>
      <c r="F14" s="1">
        <v>4</v>
      </c>
      <c r="G14" s="1" t="s">
        <v>32</v>
      </c>
      <c r="H14" s="1" t="s">
        <v>10</v>
      </c>
    </row>
    <row r="15" spans="2:8" ht="45" x14ac:dyDescent="0.25">
      <c r="B15" s="1" t="s">
        <v>29</v>
      </c>
      <c r="C15" s="1" t="s">
        <v>190</v>
      </c>
      <c r="D15" s="1" t="s">
        <v>42</v>
      </c>
      <c r="E15" s="1">
        <v>3</v>
      </c>
      <c r="F15" s="1">
        <v>4</v>
      </c>
      <c r="G15" s="1" t="s">
        <v>32</v>
      </c>
      <c r="H15" s="1" t="s">
        <v>10</v>
      </c>
    </row>
    <row r="16" spans="2:8" ht="30" x14ac:dyDescent="0.25">
      <c r="B16" s="1" t="s">
        <v>19</v>
      </c>
      <c r="C16" s="1" t="s">
        <v>191</v>
      </c>
      <c r="D16" s="1" t="s">
        <v>30</v>
      </c>
      <c r="E16" s="1">
        <v>2</v>
      </c>
      <c r="F16" s="1">
        <v>2</v>
      </c>
      <c r="G16" s="1" t="s">
        <v>32</v>
      </c>
      <c r="H16" s="1" t="s">
        <v>10</v>
      </c>
    </row>
    <row r="17" spans="2:8" ht="30" x14ac:dyDescent="0.25">
      <c r="B17" s="1" t="s">
        <v>19</v>
      </c>
      <c r="C17" s="1" t="s">
        <v>192</v>
      </c>
      <c r="D17" s="1" t="s">
        <v>31</v>
      </c>
      <c r="E17" s="1">
        <v>3</v>
      </c>
      <c r="F17" s="1">
        <v>3</v>
      </c>
      <c r="G17" s="1" t="s">
        <v>32</v>
      </c>
      <c r="H17" s="1" t="s">
        <v>10</v>
      </c>
    </row>
    <row r="18" spans="2:8" ht="45" x14ac:dyDescent="0.25">
      <c r="B18" s="1" t="s">
        <v>19</v>
      </c>
      <c r="C18" s="1" t="s">
        <v>193</v>
      </c>
      <c r="D18" s="1" t="s">
        <v>42</v>
      </c>
      <c r="E18" s="1">
        <v>3</v>
      </c>
      <c r="F18" s="1">
        <v>3</v>
      </c>
      <c r="G18" s="1" t="s">
        <v>32</v>
      </c>
      <c r="H18" s="1" t="s">
        <v>10</v>
      </c>
    </row>
    <row r="19" spans="2:8" x14ac:dyDescent="0.25">
      <c r="E19">
        <f>SUM(E4:E18)</f>
        <v>48</v>
      </c>
      <c r="F19">
        <f>SUM(F4:F18)</f>
        <v>51</v>
      </c>
    </row>
  </sheetData>
  <mergeCells count="1">
    <mergeCell ref="B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. HUENUPE ALMONTE</dc:creator>
  <cp:lastModifiedBy>BENJAMIN . HUENUPE ALMONTE</cp:lastModifiedBy>
  <dcterms:created xsi:type="dcterms:W3CDTF">2025-10-20T17:23:52Z</dcterms:created>
  <dcterms:modified xsi:type="dcterms:W3CDTF">2025-11-24T21:35:17Z</dcterms:modified>
</cp:coreProperties>
</file>